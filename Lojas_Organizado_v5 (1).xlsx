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ONSULTA" sheetId="1" r:id="rId5"/>
    <sheet state="visible" name="CADASTRO LOJAS" sheetId="2" r:id="rId6"/>
    <sheet state="visible" name="📊 RESUMO" sheetId="3" r:id="rId7"/>
    <sheet state="visible" name="DADOS_ORIGINAIS_Lojas" sheetId="4" r:id="rId8"/>
    <sheet state="hidden" name="DADOS_ORIGINAIS_Dim" sheetId="5" r:id="rId9"/>
  </sheets>
  <definedNames/>
  <calcPr/>
</workbook>
</file>

<file path=xl/sharedStrings.xml><?xml version="1.0" encoding="utf-8"?>
<sst xmlns="http://schemas.openxmlformats.org/spreadsheetml/2006/main" count="11287" uniqueCount="2862">
  <si>
    <t>Horarios de funcionamento</t>
  </si>
  <si>
    <t>row idx →</t>
  </si>
  <si>
    <t>📊 RESUMO GERENCIAL — LOJAS OSCAR</t>
  </si>
  <si>
    <t>🔵 IDENTIFICAÇÃO</t>
  </si>
  <si>
    <t>Shopping</t>
  </si>
  <si>
    <t>segunda a sexta, 10:00–22:00 sabado, 10:00–22:00 Domingo, 12:00-20:00</t>
  </si>
  <si>
    <t>Lojas centro carioca</t>
  </si>
  <si>
    <t>segunda a sexta, 09:00–19:00 sabado, 09:00–13:00 (209 09:00-15:00)</t>
  </si>
  <si>
    <t>Lojas jo/oscar</t>
  </si>
  <si>
    <t>segunda a sexta, 11:00–19:00 sabado, 11:00–17:00</t>
  </si>
  <si>
    <t>segunda a sexta, 09:00–19:00 sabado, 09:00–17:00</t>
  </si>
  <si>
    <t>Status</t>
  </si>
  <si>
    <t>CEP</t>
  </si>
  <si>
    <t>Endereço</t>
  </si>
  <si>
    <t>Número</t>
  </si>
  <si>
    <t>Bairro / Distrito</t>
  </si>
  <si>
    <t>Cidade</t>
  </si>
  <si>
    <t>UF</t>
  </si>
  <si>
    <t>CNPJ</t>
  </si>
  <si>
    <t>Grupo</t>
  </si>
  <si>
    <t>🟢 LOCALIZAÇÃO</t>
  </si>
  <si>
    <t>Telefone</t>
  </si>
  <si>
    <t>Total de Lojas</t>
  </si>
  <si>
    <t>Whatsapp</t>
  </si>
  <si>
    <t>Diretor</t>
  </si>
  <si>
    <t>Campo</t>
  </si>
  <si>
    <t>Taxa de deslocamento</t>
  </si>
  <si>
    <t>Hora de Abertura</t>
  </si>
  <si>
    <t>Hora de Fechamento</t>
  </si>
  <si>
    <t>Email Loja</t>
  </si>
  <si>
    <t>Email Gerente</t>
  </si>
  <si>
    <t>Ultima Atualização</t>
  </si>
  <si>
    <t>ABERTA</t>
  </si>
  <si>
    <t>🟡 CONTATOS</t>
  </si>
  <si>
    <t>001 - Cl2</t>
  </si>
  <si>
    <t>12210260</t>
  </si>
  <si>
    <t>🟢 Abertas</t>
  </si>
  <si>
    <t>Rua Sete de Setembro</t>
  </si>
  <si>
    <t>344</t>
  </si>
  <si>
    <t>Centro</t>
  </si>
  <si>
    <t>São José dos Campos</t>
  </si>
  <si>
    <t>SP</t>
  </si>
  <si>
    <t>50.915.875/0012-44</t>
  </si>
  <si>
    <t>Oscar Calçados</t>
  </si>
  <si>
    <t>(12) 3908-9009</t>
  </si>
  <si>
    <t>12 997409-3794</t>
  </si>
  <si>
    <t>Ericson</t>
  </si>
  <si>
    <t>Oscar</t>
  </si>
  <si>
    <t>🟣 OPERAÇÃO</t>
  </si>
  <si>
    <t>loja001@oscarcalcados.com.br</t>
  </si>
  <si>
    <t>gerente001@oscarcalcados.com.br</t>
  </si>
  <si>
    <t xml:space="preserve">Última validação: </t>
  </si>
  <si>
    <t>002 - Jp</t>
  </si>
  <si>
    <t>12216000</t>
  </si>
  <si>
    <t>🔴 Fechadas</t>
  </si>
  <si>
    <t>Avenida Pedro Álvares Cabral</t>
  </si>
  <si>
    <t>905</t>
  </si>
  <si>
    <t>Jardim Paulista</t>
  </si>
  <si>
    <t>54.237.938/0001-59</t>
  </si>
  <si>
    <t>(12) 3928-7884</t>
  </si>
  <si>
    <t>12 97402-0423</t>
  </si>
  <si>
    <t>🟠 INFRAESTRUTURA TI</t>
  </si>
  <si>
    <t>loja002@oscarcalcados.com.br</t>
  </si>
  <si>
    <t>gerente002@oscarcalcados.com.br</t>
  </si>
  <si>
    <t>003 - Cl 1</t>
  </si>
  <si>
    <t>142</t>
  </si>
  <si>
    <t>50.915.875/0013-25</t>
  </si>
  <si>
    <t>(12) 3909-1311</t>
  </si>
  <si>
    <t>12 97410-6235</t>
  </si>
  <si>
    <t>🔍 BUSCAR LOJA (código, CNPJ, nome, razão social ou cidade):</t>
  </si>
  <si>
    <t>loja003@oscarcalcados.com.br</t>
  </si>
  <si>
    <t>gerente003@oscarcalcados.com.br</t>
  </si>
  <si>
    <t>⚠️ A Verificar</t>
  </si>
  <si>
    <t xml:space="preserve">004 - Oscar Calçados de Rua </t>
  </si>
  <si>
    <t>12327320</t>
  </si>
  <si>
    <t>Rua Sargento Acrísio Santana, 149</t>
  </si>
  <si>
    <t>149</t>
  </si>
  <si>
    <t>Jacareí</t>
  </si>
  <si>
    <t>50.915.875/0014-06</t>
  </si>
  <si>
    <t>🔴 SISTEMAS</t>
  </si>
  <si>
    <t>(12) 3951-8988</t>
  </si>
  <si>
    <t>12 97406-6835</t>
  </si>
  <si>
    <t>loja004@oscarcalcados.com.br</t>
  </si>
  <si>
    <t>gerente004@oscarcalcados.com.br</t>
  </si>
  <si>
    <t>Ou selecione da lista:</t>
  </si>
  <si>
    <t>005 - Jc 1</t>
  </si>
  <si>
    <t>12308011</t>
  </si>
  <si>
    <t>Praça Raul Chaves</t>
  </si>
  <si>
    <t>79</t>
  </si>
  <si>
    <t>72.014.681/0001-58</t>
  </si>
  <si>
    <t>Lojas por Estado (UF)</t>
  </si>
  <si>
    <t>(12) 3954-0797</t>
  </si>
  <si>
    <t>12 97406-7534</t>
  </si>
  <si>
    <t>loja005@oscarcalcados.com.br</t>
  </si>
  <si>
    <t>gerente005@oscarcalcados.com.br</t>
  </si>
  <si>
    <t>006 - Sh 2</t>
  </si>
  <si>
    <t>12215900</t>
  </si>
  <si>
    <t>Lojas por Grupo Financeiro</t>
  </si>
  <si>
    <t>Avenida Deputado Benedito Matarazzo</t>
  </si>
  <si>
    <t>9403</t>
  </si>
  <si>
    <t>⚪ OBSERVAÇÕES</t>
  </si>
  <si>
    <t>50.915.875/0004-34</t>
  </si>
  <si>
    <t>(12) 3924-3420</t>
  </si>
  <si>
    <t>12 97408-3216</t>
  </si>
  <si>
    <t>loja006@oscarcalcados.com.br</t>
  </si>
  <si>
    <t>BA</t>
  </si>
  <si>
    <t>gerente006@oscarcalcados.com.br</t>
  </si>
  <si>
    <t>007 - Cn</t>
  </si>
  <si>
    <t>12242000</t>
  </si>
  <si>
    <t>Avenida São João</t>
  </si>
  <si>
    <t>2200</t>
  </si>
  <si>
    <t>Jardim das Colinas</t>
  </si>
  <si>
    <t>50.915.875/0003-53</t>
  </si>
  <si>
    <t>(12) 3924-3432</t>
  </si>
  <si>
    <t>12 97411-7843</t>
  </si>
  <si>
    <t>Código Loja</t>
  </si>
  <si>
    <t>loja007@oscarcalcados.com.br</t>
  </si>
  <si>
    <t>gerente007@oscarcalcados.com.br</t>
  </si>
  <si>
    <t>009 - Js</t>
  </si>
  <si>
    <t>008 - Rio Preto Shopp</t>
  </si>
  <si>
    <t>Nome Fantasia</t>
  </si>
  <si>
    <t>15090000</t>
  </si>
  <si>
    <t>Avenida Brigadeiro Faria Lima</t>
  </si>
  <si>
    <t>Razão Social</t>
  </si>
  <si>
    <t>Geral</t>
  </si>
  <si>
    <t>6363</t>
  </si>
  <si>
    <t>Vila São José</t>
  </si>
  <si>
    <t>São José do Rio Preto</t>
  </si>
  <si>
    <t>48.973.705/0013-55</t>
  </si>
  <si>
    <t>(17) 3201-2923</t>
  </si>
  <si>
    <t>17 97400-8780</t>
  </si>
  <si>
    <t>Unidade de Negócio</t>
  </si>
  <si>
    <t>Grupo Financeiro</t>
  </si>
  <si>
    <t>loja008@oscarcalcados.com.br</t>
  </si>
  <si>
    <t>gerente008@oscarcalcados.com.br</t>
  </si>
  <si>
    <t>Logradouro</t>
  </si>
  <si>
    <t>CE</t>
  </si>
  <si>
    <t>009 - Oscar Jd.Satélite</t>
  </si>
  <si>
    <t>12230001</t>
  </si>
  <si>
    <t>Av. Andrômeda, 1868</t>
  </si>
  <si>
    <t>1868</t>
  </si>
  <si>
    <t>Jd. Satélite</t>
  </si>
  <si>
    <t>Complemento (Endereço Lojas)</t>
  </si>
  <si>
    <t>50.915.875/0001-91</t>
  </si>
  <si>
    <t>Bairro</t>
  </si>
  <si>
    <t>(12) 3932-0066</t>
  </si>
  <si>
    <t>12 97404-1272</t>
  </si>
  <si>
    <t>Grupo Diad</t>
  </si>
  <si>
    <t>loja009@oscarcalcados.com.br</t>
  </si>
  <si>
    <t>gerente009@oscarcalcados.com.br</t>
  </si>
  <si>
    <t>Código:</t>
  </si>
  <si>
    <t>Regional</t>
  </si>
  <si>
    <t>011 Arezzo Vale Sul</t>
  </si>
  <si>
    <t>12230000</t>
  </si>
  <si>
    <t>Av. Andrômeda, 227 - Loja 204</t>
  </si>
  <si>
    <t>227</t>
  </si>
  <si>
    <t>Telefone Loja</t>
  </si>
  <si>
    <t>09.108.526/0001-64</t>
  </si>
  <si>
    <t>Arezzo</t>
  </si>
  <si>
    <t>(12) 3935-4056</t>
  </si>
  <si>
    <t>12 97411-6754</t>
  </si>
  <si>
    <t>Sonia</t>
  </si>
  <si>
    <t>ES</t>
  </si>
  <si>
    <t>WhatsApp</t>
  </si>
  <si>
    <t>E-mail Loja</t>
  </si>
  <si>
    <t>loja011@lojasarezzo.com.br</t>
  </si>
  <si>
    <t>gerente011@lojasarezzo.com.br</t>
  </si>
  <si>
    <t>E-mail Gerente</t>
  </si>
  <si>
    <t>012 - Arezzo Center Vale</t>
  </si>
  <si>
    <t>12216580</t>
  </si>
  <si>
    <t>Hora Abertura</t>
  </si>
  <si>
    <t>Av. Dep. Benedito Matarazzo, 9403 Loja S/113</t>
  </si>
  <si>
    <t>Jd. Oswaldo Cruz</t>
  </si>
  <si>
    <t>Grupo F1</t>
  </si>
  <si>
    <t>02.139.784/0001-69</t>
  </si>
  <si>
    <t>Hora Fechamento</t>
  </si>
  <si>
    <t>(12) 3947-7619</t>
  </si>
  <si>
    <t>12 97404-4892</t>
  </si>
  <si>
    <t>IP</t>
  </si>
  <si>
    <t>loja012@lojasarezzo.com.br</t>
  </si>
  <si>
    <t>Link de Internet</t>
  </si>
  <si>
    <t>MG</t>
  </si>
  <si>
    <t>gerente012@lojasarezzo.com.br</t>
  </si>
  <si>
    <t>Operadora</t>
  </si>
  <si>
    <t>Tipo de Conexão</t>
  </si>
  <si>
    <t>013 - Arezzo CN</t>
  </si>
  <si>
    <t>12242970</t>
  </si>
  <si>
    <t>Qtde PDVs</t>
  </si>
  <si>
    <t>São João, 2200 lj. Nº 010/011</t>
  </si>
  <si>
    <t>Servidor Local (S/N)</t>
  </si>
  <si>
    <t>Jd. das Colinas</t>
  </si>
  <si>
    <t>Modelo de Equipamento</t>
  </si>
  <si>
    <t>08.371.232/0001-68</t>
  </si>
  <si>
    <t>Logradouro:</t>
  </si>
  <si>
    <t>Grupo F10</t>
  </si>
  <si>
    <t>(12) 3904-7850</t>
  </si>
  <si>
    <t>Versão MegaStore</t>
  </si>
  <si>
    <t>12 97411-5572</t>
  </si>
  <si>
    <t>loja013@lojasarezzo.com.br</t>
  </si>
  <si>
    <t>gerente013@lojasarezzo.com.br</t>
  </si>
  <si>
    <t>Versão Retaguarda</t>
  </si>
  <si>
    <t>Versão Frente</t>
  </si>
  <si>
    <t>015 - Victor Hugo CV</t>
  </si>
  <si>
    <t>Ambiente (Produção/Beta)</t>
  </si>
  <si>
    <t>Homologação</t>
  </si>
  <si>
    <t>Observações</t>
  </si>
  <si>
    <t>Última Atualização</t>
  </si>
  <si>
    <t>CNPJ_digitos</t>
  </si>
  <si>
    <t>Av. Dep. Benedito Matarazzo,  lj 509/10</t>
  </si>
  <si>
    <t>RJ</t>
  </si>
  <si>
    <t>04.723.248/0001-31</t>
  </si>
  <si>
    <t>Victor Hugo</t>
  </si>
  <si>
    <t>(12) 3928-7895</t>
  </si>
  <si>
    <t>12 97407-7463</t>
  </si>
  <si>
    <t>centervale@victorhugo.com.br</t>
  </si>
  <si>
    <t>Grupo F2</t>
  </si>
  <si>
    <t>016 - Guara Ct</t>
  </si>
  <si>
    <t>Oscar Calcados Ltda</t>
  </si>
  <si>
    <t>12500150</t>
  </si>
  <si>
    <t>Rua Comendador João Galvão</t>
  </si>
  <si>
    <t>36</t>
  </si>
  <si>
    <t>Guaratinguetá</t>
  </si>
  <si>
    <t>50.915.875/0015-97</t>
  </si>
  <si>
    <t>(12) 3128-3197</t>
  </si>
  <si>
    <t>12 97411-1083</t>
  </si>
  <si>
    <t>Nome Fantasia:</t>
  </si>
  <si>
    <t>RS</t>
  </si>
  <si>
    <t>loja016@oscarcalcados.com.br</t>
  </si>
  <si>
    <t>gerente016@oscarcalcados.com.br</t>
  </si>
  <si>
    <t>017 - Tênis VS</t>
  </si>
  <si>
    <t>Avenida Andrômeda</t>
  </si>
  <si>
    <t>Jardim Satélite</t>
  </si>
  <si>
    <t>05.574.086/0001-80</t>
  </si>
  <si>
    <t>Grupo F3</t>
  </si>
  <si>
    <t>(12) 3935-4063</t>
  </si>
  <si>
    <t>12 97402-7510</t>
  </si>
  <si>
    <t>loja017@oscarcalcados.com.br</t>
  </si>
  <si>
    <t>gerente017@oscarcalcados.com.br</t>
  </si>
  <si>
    <t>Número:</t>
  </si>
  <si>
    <t>018 - Arezzo - Shopping</t>
  </si>
  <si>
    <t>SC</t>
  </si>
  <si>
    <t>12308001</t>
  </si>
  <si>
    <t>Rua Barão de Jacareí, 364 lj. 23</t>
  </si>
  <si>
    <t>364</t>
  </si>
  <si>
    <t>14.620.014/0001-12</t>
  </si>
  <si>
    <t>(12) 3954-8385</t>
  </si>
  <si>
    <t>12 97411-3673</t>
  </si>
  <si>
    <t>loja018@lojasarezzo.com.br</t>
  </si>
  <si>
    <t>gerente018@lojasarezzo.com.br</t>
  </si>
  <si>
    <t>Grupo F4</t>
  </si>
  <si>
    <t>019 - Jc Sh</t>
  </si>
  <si>
    <t>Rua Barão de Jacareí</t>
  </si>
  <si>
    <t>Aberta</t>
  </si>
  <si>
    <t>50.915.875/0016-78</t>
  </si>
  <si>
    <t>Grupo Oscar Calçados</t>
  </si>
  <si>
    <t>(12) 3955-9599</t>
  </si>
  <si>
    <t>12 97411-7172</t>
  </si>
  <si>
    <t>loja019@oscarcalcados.com.br</t>
  </si>
  <si>
    <t>Rua Sete De Setembro</t>
  </si>
  <si>
    <t>gerente019@oscarcalcados.com.br</t>
  </si>
  <si>
    <t>020 - Taub Shopp</t>
  </si>
  <si>
    <t>Razão Social:</t>
  </si>
  <si>
    <t>12050181</t>
  </si>
  <si>
    <t>Avenida Charles Schnneider</t>
  </si>
  <si>
    <t>1700</t>
  </si>
  <si>
    <t>Vila Costa</t>
  </si>
  <si>
    <t>Taubaté</t>
  </si>
  <si>
    <t>50.915.875/0017-54</t>
  </si>
  <si>
    <t>(12) 3634-3637</t>
  </si>
  <si>
    <t>Grupo F5</t>
  </si>
  <si>
    <t>12 97411-5917</t>
  </si>
  <si>
    <t>São José Dos Campos</t>
  </si>
  <si>
    <t>loja020@oscarcalcados.com.br</t>
  </si>
  <si>
    <t>gerente020@oscarcalcados.com.br</t>
  </si>
  <si>
    <t>022 - Tenis Calçadão</t>
  </si>
  <si>
    <t>156</t>
  </si>
  <si>
    <t>05.908.530/0001-59</t>
  </si>
  <si>
    <t>Grupo F6</t>
  </si>
  <si>
    <t>(12) 3908-9006</t>
  </si>
  <si>
    <t>12 97411-1976</t>
  </si>
  <si>
    <t>loja022@oscarcalcados.com.br</t>
  </si>
  <si>
    <t>gerente022@oscarcalcados.com.br</t>
  </si>
  <si>
    <t>Bairro:</t>
  </si>
  <si>
    <t>023 - Guará Shopp</t>
  </si>
  <si>
    <t>12505300</t>
  </si>
  <si>
    <t>Avenida Juscelino Kubitschek de Oliveira</t>
  </si>
  <si>
    <t>351</t>
  </si>
  <si>
    <t>Campo do Galvão</t>
  </si>
  <si>
    <t>Grupo F7</t>
  </si>
  <si>
    <t>50.915.875/0018-30</t>
  </si>
  <si>
    <t>(12) 3128-3198</t>
  </si>
  <si>
    <t>12 97403-3715</t>
  </si>
  <si>
    <t>loja023@oscarcalcados.com.br</t>
  </si>
  <si>
    <t>gerente023@oscarcalcados.com.br</t>
  </si>
  <si>
    <t>12210-260</t>
  </si>
  <si>
    <t>LUIS AMERICO</t>
  </si>
  <si>
    <t>024 - Stock Show</t>
  </si>
  <si>
    <t>12210200</t>
  </si>
  <si>
    <t>ERICSON</t>
  </si>
  <si>
    <t>Lojas por Regional</t>
  </si>
  <si>
    <t>Rua Sebastião Humel</t>
  </si>
  <si>
    <t>301</t>
  </si>
  <si>
    <t>08.776.666/0001-48</t>
  </si>
  <si>
    <t>Grupo Stock Show SJC</t>
  </si>
  <si>
    <t>(12) 3925-0316</t>
  </si>
  <si>
    <t>12 97411-4525</t>
  </si>
  <si>
    <t>CNPJ:</t>
  </si>
  <si>
    <t>loja024@stockshow.com.br</t>
  </si>
  <si>
    <t>gerente024@stockshow.com.br</t>
  </si>
  <si>
    <t>026 - Vale Sul 2</t>
  </si>
  <si>
    <t>Grupo F8</t>
  </si>
  <si>
    <t>50.915.875/0010-82</t>
  </si>
  <si>
    <t>(12) 3935-4082</t>
  </si>
  <si>
    <t>12 99114-8360</t>
  </si>
  <si>
    <t>loja026@oscarcalcados.com.br</t>
  </si>
  <si>
    <t>gerente026@oscarcalcados.com.br</t>
  </si>
  <si>
    <t>ARTEMIS</t>
  </si>
  <si>
    <t>028 - Taubaté</t>
  </si>
  <si>
    <t>12010020</t>
  </si>
  <si>
    <t xml:space="preserve"> Praça Dom Epaminondas</t>
  </si>
  <si>
    <t>Cidade:</t>
  </si>
  <si>
    <t>54</t>
  </si>
  <si>
    <t>50.915.875/0019-10</t>
  </si>
  <si>
    <t>(12) 3622-5762</t>
  </si>
  <si>
    <t>(12) 97407-1208</t>
  </si>
  <si>
    <t>loja028@oscarcalcados.com.br</t>
  </si>
  <si>
    <t>gerente028@oscarcalcados.com.br</t>
  </si>
  <si>
    <t>Grupo F9</t>
  </si>
  <si>
    <t>031 - Constantino Mogi</t>
  </si>
  <si>
    <t>08780500</t>
  </si>
  <si>
    <t>Avenida Vereador Narciso Yague Guimarães</t>
  </si>
  <si>
    <t>1001</t>
  </si>
  <si>
    <t>Jardim Armênia</t>
  </si>
  <si>
    <t>Mogi das Cruzes</t>
  </si>
  <si>
    <t>10.980.442/0001-03</t>
  </si>
  <si>
    <t>Constantino</t>
  </si>
  <si>
    <t>(11) 4728-4396</t>
  </si>
  <si>
    <t>11 94078-0983</t>
  </si>
  <si>
    <t>Status:</t>
  </si>
  <si>
    <t>BACKOFFICE</t>
  </si>
  <si>
    <t>loja031@lojasconstantino.com.br</t>
  </si>
  <si>
    <t>gerente031@lojasconstantino.com.br</t>
  </si>
  <si>
    <t>Produção</t>
  </si>
  <si>
    <t>032 - Mogi Shopp</t>
  </si>
  <si>
    <t>08780000</t>
  </si>
  <si>
    <t>Centro Cívico</t>
  </si>
  <si>
    <t>50.915.875/0020-54</t>
  </si>
  <si>
    <t>(11) 4798-6553</t>
  </si>
  <si>
    <t>11 94009-5981</t>
  </si>
  <si>
    <t>loja032@oscarcalcados.com.br</t>
  </si>
  <si>
    <t>gerente032@oscarcalcados.com.br</t>
  </si>
  <si>
    <t>BERNARDO</t>
  </si>
  <si>
    <t>034 - Stock Show Rua</t>
  </si>
  <si>
    <t>08740-310</t>
  </si>
  <si>
    <t>Rua Francisco Afonso de Melo</t>
  </si>
  <si>
    <t>135</t>
  </si>
  <si>
    <t>Vila Brás Cubas</t>
  </si>
  <si>
    <t>Última validação:</t>
  </si>
  <si>
    <t>03.972.679/0001-79</t>
  </si>
  <si>
    <t>Grupo Stock Show Mogi</t>
  </si>
  <si>
    <t>UF:</t>
  </si>
  <si>
    <t>(11) 4723-4359</t>
  </si>
  <si>
    <t>11 34024-0939</t>
  </si>
  <si>
    <t>Helena</t>
  </si>
  <si>
    <t>loja034@stockshow.com.br</t>
  </si>
  <si>
    <t>gerente034@stockshow.com.br</t>
  </si>
  <si>
    <t>CLAUDIO</t>
  </si>
  <si>
    <t>035 - Stock Show Suzano</t>
  </si>
  <si>
    <t>08673-110</t>
  </si>
  <si>
    <t>Rua Eliziel Alves Costa</t>
  </si>
  <si>
    <t>34</t>
  </si>
  <si>
    <t>Suzano</t>
  </si>
  <si>
    <t>04.431.428/0001-40</t>
  </si>
  <si>
    <t>(11) 4741-4895</t>
  </si>
  <si>
    <t>11 94794-0416</t>
  </si>
  <si>
    <t>CLOVIS</t>
  </si>
  <si>
    <t>loja035@stockshow.com.br</t>
  </si>
  <si>
    <t>gerente035@stockshow.com.br</t>
  </si>
  <si>
    <t>Unidade Negócio:</t>
  </si>
  <si>
    <t>036 - Scarlen Shopping Suzano</t>
  </si>
  <si>
    <t>08673-020</t>
  </si>
  <si>
    <t>Rua 7 de Setembro</t>
  </si>
  <si>
    <t>555</t>
  </si>
  <si>
    <t>Jardim Iraí</t>
  </si>
  <si>
    <t>02.010.526/0001-88</t>
  </si>
  <si>
    <t>Grupo Scarlen</t>
  </si>
  <si>
    <t>(11) 4746-7062</t>
  </si>
  <si>
    <t>E N Constantino Calcados Eireli</t>
  </si>
  <si>
    <t>(11) 94772-0433</t>
  </si>
  <si>
    <t>ESTEFAN</t>
  </si>
  <si>
    <t>CEP:</t>
  </si>
  <si>
    <t xml:space="preserve"> loja036@scarlen.com.br</t>
  </si>
  <si>
    <t>gerente036@scarlen.com.br</t>
  </si>
  <si>
    <t>037 - Scarlen Centro Mogi</t>
  </si>
  <si>
    <t>08710-410</t>
  </si>
  <si>
    <t>Rua  Brás Cubas</t>
  </si>
  <si>
    <t>171</t>
  </si>
  <si>
    <t>58.760.141/0001-92</t>
  </si>
  <si>
    <t>(11) 4799-7262</t>
  </si>
  <si>
    <t>(11) 94736-0495</t>
  </si>
  <si>
    <t>JORGE</t>
  </si>
  <si>
    <t xml:space="preserve"> loja037@scarlen.com.br</t>
  </si>
  <si>
    <t>gerente037@scarlen.com.br</t>
  </si>
  <si>
    <t>12216-000</t>
  </si>
  <si>
    <t>038 - Scarlen Shopping Mogi</t>
  </si>
  <si>
    <t>08780-910</t>
  </si>
  <si>
    <t>Av.   Ver. Narciso Yague Guimarães, Arco: 230</t>
  </si>
  <si>
    <t>(12) 97402-0423</t>
  </si>
  <si>
    <t>Grupo Financeiro:</t>
  </si>
  <si>
    <t>67.109.132/0001-27</t>
  </si>
  <si>
    <t>JOÃO PAULO</t>
  </si>
  <si>
    <t>(11) 4798-6554</t>
  </si>
  <si>
    <t>(11) 94738-0583</t>
  </si>
  <si>
    <t>loja038@scarlen.com.br</t>
  </si>
  <si>
    <t>gerente038@scarlen.com.br</t>
  </si>
  <si>
    <t>039 - CL Mg</t>
  </si>
  <si>
    <t>08710-430</t>
  </si>
  <si>
    <t>Rua Doutor Deodato Wertheimer</t>
  </si>
  <si>
    <t>1395</t>
  </si>
  <si>
    <t>KATIANE</t>
  </si>
  <si>
    <t>50.915.875/0021-35</t>
  </si>
  <si>
    <t>(11) 4791-8982</t>
  </si>
  <si>
    <t>11 97827-1541</t>
  </si>
  <si>
    <t>loja039@oscarcalcados.com.br</t>
  </si>
  <si>
    <t>gerente039@oscarcalcados.com.br</t>
  </si>
  <si>
    <t>Regional:</t>
  </si>
  <si>
    <t>040 - Arezzo Shopping Mogi</t>
  </si>
  <si>
    <t>Beta</t>
  </si>
  <si>
    <t>Av Ver. Narciso Yague Guimarães, loja 201</t>
  </si>
  <si>
    <t>Jd Armênia</t>
  </si>
  <si>
    <t>02.163.422/0001-03</t>
  </si>
  <si>
    <t>Grupo Arezzo</t>
  </si>
  <si>
    <t>(11) 4728-4395</t>
  </si>
  <si>
    <t>11 91327-3036</t>
  </si>
  <si>
    <t>LOJA FECHADA</t>
  </si>
  <si>
    <t>loja040@lojasarezzo.com.br</t>
  </si>
  <si>
    <t>gerente040@lojasarezzo.com.br</t>
  </si>
  <si>
    <t>041 - Rio Preto Ct</t>
  </si>
  <si>
    <t>15015400</t>
  </si>
  <si>
    <t>Rua General Glicério</t>
  </si>
  <si>
    <t>2826</t>
  </si>
  <si>
    <t>48.973.705/0009-79</t>
  </si>
  <si>
    <t>(17) 3519-3058</t>
  </si>
  <si>
    <t>17 97400-5794</t>
  </si>
  <si>
    <t>LUIGI</t>
  </si>
  <si>
    <t>loja041@oscarcalcados.com.br</t>
  </si>
  <si>
    <t>gerente041@oscarcalcados.com.br</t>
  </si>
  <si>
    <t>042 - Stock Show Poá</t>
  </si>
  <si>
    <t>08550-030</t>
  </si>
  <si>
    <t>Rua Silvério Pereira Jordão</t>
  </si>
  <si>
    <t>37</t>
  </si>
  <si>
    <t>Vila São João</t>
  </si>
  <si>
    <t>Poá</t>
  </si>
  <si>
    <t>08.062.235/0001-10</t>
  </si>
  <si>
    <t>(12) 97410-6235</t>
  </si>
  <si>
    <t>(11) 4634-4633</t>
  </si>
  <si>
    <t>(11) 94029-0626</t>
  </si>
  <si>
    <t>Telefone:</t>
  </si>
  <si>
    <t>loja042@stockshow.com.br</t>
  </si>
  <si>
    <t>gerente042@stockshow.com.br</t>
  </si>
  <si>
    <t>MATRIZ</t>
  </si>
  <si>
    <t>043 - Suzano Shopping</t>
  </si>
  <si>
    <t>Rua 7 de setembro, loja 115/116</t>
  </si>
  <si>
    <t>50.915.875/0022-16</t>
  </si>
  <si>
    <t>(11) 4742-3864 / (11) 4743-5094</t>
  </si>
  <si>
    <t>(11) 94029-0796</t>
  </si>
  <si>
    <t>MAURICIO</t>
  </si>
  <si>
    <t>loja043@oscarcalcados.com.br</t>
  </si>
  <si>
    <t>gerente043@oscarcalcados.com.br</t>
  </si>
  <si>
    <t>044 - Caragua Shopp</t>
  </si>
  <si>
    <t>11672901</t>
  </si>
  <si>
    <t>Avenida José Herculano</t>
  </si>
  <si>
    <t>1086</t>
  </si>
  <si>
    <t>Pontal de Santa Marina</t>
  </si>
  <si>
    <t>Caraguatatuba</t>
  </si>
  <si>
    <t>004 - Jc 2</t>
  </si>
  <si>
    <t>50.915.875/0008-68</t>
  </si>
  <si>
    <t>PATRICIA</t>
  </si>
  <si>
    <t>(12) 3885-1445</t>
  </si>
  <si>
    <t>12 97405-1457</t>
  </si>
  <si>
    <t>loja044@oscarcalcados.com.br</t>
  </si>
  <si>
    <t>gerente044@oscarcalcados.com.br</t>
  </si>
  <si>
    <t>Rua Sargento Acrísio Santana</t>
  </si>
  <si>
    <t>045 - Araçatuba</t>
  </si>
  <si>
    <t>PETERSON</t>
  </si>
  <si>
    <t>16010300</t>
  </si>
  <si>
    <t>Rua Marechal Deodoro</t>
  </si>
  <si>
    <t>139</t>
  </si>
  <si>
    <t>Araçatuba</t>
  </si>
  <si>
    <t>48.973.705/0010-02</t>
  </si>
  <si>
    <t>12327-320</t>
  </si>
  <si>
    <t>(18) 3607-2278</t>
  </si>
  <si>
    <t>18 97400-4018</t>
  </si>
  <si>
    <t>loja045@oscarcalcados.com.br</t>
  </si>
  <si>
    <t>(12) 97406-6835</t>
  </si>
  <si>
    <t>gerente045@oscarcalcados.com.br</t>
  </si>
  <si>
    <t>RODRIGO</t>
  </si>
  <si>
    <t>FECHADA</t>
  </si>
  <si>
    <t>046 - Constantino SJC</t>
  </si>
  <si>
    <t>09.332.225/0001-10</t>
  </si>
  <si>
    <t>(12) 3928-7871</t>
  </si>
  <si>
    <t>ROGERS</t>
  </si>
  <si>
    <t>constantino46@lojasconstantino.com.br</t>
  </si>
  <si>
    <t>047 - Pinda Shopp</t>
  </si>
  <si>
    <t>12421705</t>
  </si>
  <si>
    <t>Rua Alcides Ramos Nogueira</t>
  </si>
  <si>
    <t>650</t>
  </si>
  <si>
    <t>Nossa Senhora do Perpétuo Socorro</t>
  </si>
  <si>
    <t>Pindamonhangaba</t>
  </si>
  <si>
    <t>19.853.593/0001-67</t>
  </si>
  <si>
    <t>SUILA</t>
  </si>
  <si>
    <t>(12) 3644-1797</t>
  </si>
  <si>
    <t>12 97411-7551</t>
  </si>
  <si>
    <t>Racso Calcados Ltda</t>
  </si>
  <si>
    <t>loja047@oscarcalcados.com.br</t>
  </si>
  <si>
    <t>gerente047@oscarcalcados.com.br</t>
  </si>
  <si>
    <t>Hora Abertura:</t>
  </si>
  <si>
    <t>THIAGO</t>
  </si>
  <si>
    <t>048 - Pinda Ct</t>
  </si>
  <si>
    <t>12400470</t>
  </si>
  <si>
    <t>Praça Monsenhor Marcondes</t>
  </si>
  <si>
    <t>50</t>
  </si>
  <si>
    <t>50.915.875/0023-05</t>
  </si>
  <si>
    <t>(12) 3644-1119</t>
  </si>
  <si>
    <t>12 97411-2318</t>
  </si>
  <si>
    <t>12308-011</t>
  </si>
  <si>
    <t>loja048@oscarcalcados.com.br</t>
  </si>
  <si>
    <t>gerente048@oscarcalcados.com.br</t>
  </si>
  <si>
    <t>(12) 97406-7534</t>
  </si>
  <si>
    <t>049 - Lorena</t>
  </si>
  <si>
    <t>12600005</t>
  </si>
  <si>
    <t>Rua Doutor Rodrigues de Azevedo</t>
  </si>
  <si>
    <t>240</t>
  </si>
  <si>
    <t>Lorena</t>
  </si>
  <si>
    <t>50.915.875/0024-88</t>
  </si>
  <si>
    <t>(12) 3159-1169</t>
  </si>
  <si>
    <t>12 97411-7364</t>
  </si>
  <si>
    <t>loja049@oscarcalcados.com.br</t>
  </si>
  <si>
    <t>gerente049@oscarcalcados.com.br</t>
  </si>
  <si>
    <t>050 - Victor Hugo Colinas</t>
  </si>
  <si>
    <t>12242-000</t>
  </si>
  <si>
    <t>Avenida São João, Lj 73/74/75</t>
  </si>
  <si>
    <t>21.400.535/0001-20</t>
  </si>
  <si>
    <t>Grupo Victor Hugo</t>
  </si>
  <si>
    <t>(12) 3904-3540</t>
  </si>
  <si>
    <t>12 97411-9148</t>
  </si>
  <si>
    <t>Jardim Oswaldo Cruz</t>
  </si>
  <si>
    <t>053 - Bauru Shopping</t>
  </si>
  <si>
    <t>12215-900</t>
  </si>
  <si>
    <t>17011900</t>
  </si>
  <si>
    <t>VIVIANE</t>
  </si>
  <si>
    <t>Rua Henrique Savi</t>
  </si>
  <si>
    <t>55</t>
  </si>
  <si>
    <t>Vila Cidade Universitária</t>
  </si>
  <si>
    <t>Bauru</t>
  </si>
  <si>
    <t>(12) 97408-3216</t>
  </si>
  <si>
    <t>45.151.240/0001-25</t>
  </si>
  <si>
    <t>(14) 3104-0511</t>
  </si>
  <si>
    <t>17 97400-0340</t>
  </si>
  <si>
    <t>loja053@oscarcalcados.com.br</t>
  </si>
  <si>
    <t>gerente053@oscarcalcados.com.br</t>
  </si>
  <si>
    <t>054 - Ribeirão Preto</t>
  </si>
  <si>
    <t>14010080</t>
  </si>
  <si>
    <t>Rua Álvares Cabral</t>
  </si>
  <si>
    <t>470</t>
  </si>
  <si>
    <t>Ribeirão Preto</t>
  </si>
  <si>
    <t>48.973.705/0026-70</t>
  </si>
  <si>
    <t>Lojas por Diretor</t>
  </si>
  <si>
    <t>(16) 3519-3389</t>
  </si>
  <si>
    <t>16 97400-2273</t>
  </si>
  <si>
    <t>loja054@oscarcalcados.com.br</t>
  </si>
  <si>
    <t>gerente054@oscarcalcados.com.br</t>
  </si>
  <si>
    <t>WhatsApp:</t>
  </si>
  <si>
    <t>055 - Usaflex Mogi Shopping</t>
  </si>
  <si>
    <t>Av Ver Narciso Yague Guimarães, lj 313</t>
  </si>
  <si>
    <t>CERUTTI</t>
  </si>
  <si>
    <t>Jardim Das Colinas</t>
  </si>
  <si>
    <t>31.795.183/0001-02</t>
  </si>
  <si>
    <t>Grupo Usaflex</t>
  </si>
  <si>
    <t>(11) 4728-7190</t>
  </si>
  <si>
    <t>11 97600-4756</t>
  </si>
  <si>
    <t>mogishopping@usaflexfranquias.com.br</t>
  </si>
  <si>
    <t>(12) 97411-7843</t>
  </si>
  <si>
    <t>056 - Usaflex Guarulhos Shopping</t>
  </si>
  <si>
    <t>07042-040</t>
  </si>
  <si>
    <t>Rua Engº Camilo Olivetti, loja I25</t>
  </si>
  <si>
    <t>295</t>
  </si>
  <si>
    <t>Vila Endres</t>
  </si>
  <si>
    <t>Guarulhos</t>
  </si>
  <si>
    <t>33.452.971/0001-21</t>
  </si>
  <si>
    <t>(11) 2425-5339</t>
  </si>
  <si>
    <t>12 99199-1202</t>
  </si>
  <si>
    <t>internacionalguarulhos@usaflexfranquias.com.br</t>
  </si>
  <si>
    <t>057 - Usaflex Shopping Suzano</t>
  </si>
  <si>
    <t>Rua Sete de Setembro, loja 139</t>
  </si>
  <si>
    <t>HELENA</t>
  </si>
  <si>
    <t>50.915.875/0044-21</t>
  </si>
  <si>
    <t>Parque Suzano</t>
  </si>
  <si>
    <t>33.930.685/0001-24</t>
  </si>
  <si>
    <t>(11) 4744-8352</t>
  </si>
  <si>
    <t>11 94028-4993</t>
  </si>
  <si>
    <t>Vila Sao Jose</t>
  </si>
  <si>
    <t>suzanoshopping@usaflexfranquias.com.br</t>
  </si>
  <si>
    <t>Sao Jose Do Rio Preto</t>
  </si>
  <si>
    <t>15090-000</t>
  </si>
  <si>
    <t>058 - Ribeirão Shopp</t>
  </si>
  <si>
    <t>14026900</t>
  </si>
  <si>
    <t>RENAN</t>
  </si>
  <si>
    <t>Avenida Coronel Fernando Ferreira Leite</t>
  </si>
  <si>
    <t>1540</t>
  </si>
  <si>
    <t>Jardim Califórnia</t>
  </si>
  <si>
    <t>(17) 97400-8780</t>
  </si>
  <si>
    <t>48.973.705/0027-50</t>
  </si>
  <si>
    <t>(16) 3902-1049</t>
  </si>
  <si>
    <t>16 97401-3273</t>
  </si>
  <si>
    <t>loja058@oscarcalcados.com.br</t>
  </si>
  <si>
    <t>gerente058@oscarcalcados.com.br</t>
  </si>
  <si>
    <t>SONIA</t>
  </si>
  <si>
    <t>059 - Usaflex Tatuapé Shopping</t>
  </si>
  <si>
    <t>03306-010</t>
  </si>
  <si>
    <t>Rua Domingos Agostim</t>
  </si>
  <si>
    <t>91</t>
  </si>
  <si>
    <t>Cidade Mãe do Céu</t>
  </si>
  <si>
    <t>São Paulo</t>
  </si>
  <si>
    <t>36.204.835/0001-00</t>
  </si>
  <si>
    <t>(11) 2095-4409</t>
  </si>
  <si>
    <t>(11) 93925-1211</t>
  </si>
  <si>
    <t>shoppingmetrotatuape@usaflexfranquias.com.br</t>
  </si>
  <si>
    <t>060 - Anacapri Suzano Shopping</t>
  </si>
  <si>
    <t>8673020</t>
  </si>
  <si>
    <t>Rua Sete de Setembro, lj 81</t>
  </si>
  <si>
    <t>36.191.797/0001-07</t>
  </si>
  <si>
    <t>Grupo Anacapri</t>
  </si>
  <si>
    <t>(11) 4748-9430</t>
  </si>
  <si>
    <t>(11) 94005-2188</t>
  </si>
  <si>
    <t>loja060@lojasanacapri.com.br</t>
  </si>
  <si>
    <t>gerente060@lojasanacapri.com.br</t>
  </si>
  <si>
    <t>12230-001</t>
  </si>
  <si>
    <t>061 - Jundiaí</t>
  </si>
  <si>
    <t>13201011</t>
  </si>
  <si>
    <t>Rua Barão de Jundiaí</t>
  </si>
  <si>
    <t>640</t>
  </si>
  <si>
    <t>(12) 97404-1272</t>
  </si>
  <si>
    <t>Jundiaí</t>
  </si>
  <si>
    <t>48.973.705/0025-99</t>
  </si>
  <si>
    <t>(11) 4523-6553</t>
  </si>
  <si>
    <t>11 94776-9077</t>
  </si>
  <si>
    <t>loja061@oscarcalcados.com.br</t>
  </si>
  <si>
    <t>gerente061@oscarcalcados.com.br</t>
  </si>
  <si>
    <t>Hora Fechamento:</t>
  </si>
  <si>
    <t>062 - Piracicaba</t>
  </si>
  <si>
    <t>13400070</t>
  </si>
  <si>
    <t>Rua Governador Pedro de Toledo</t>
  </si>
  <si>
    <t>1211</t>
  </si>
  <si>
    <t>Piracicaba</t>
  </si>
  <si>
    <t>48.973.705/0023-27</t>
  </si>
  <si>
    <t>(19) 3447-7996</t>
  </si>
  <si>
    <t>19 97401-4761</t>
  </si>
  <si>
    <t>loja062@oscarcalcados.com.br</t>
  </si>
  <si>
    <t>gerente062@oscarcalcados.com.br</t>
  </si>
  <si>
    <t>063 - Sorocaba</t>
  </si>
  <si>
    <t>18010120</t>
  </si>
  <si>
    <t>Rua Doutor Braguinha</t>
  </si>
  <si>
    <t>264</t>
  </si>
  <si>
    <t>010 - Cd Oscar</t>
  </si>
  <si>
    <t>Sorocaba</t>
  </si>
  <si>
    <t>50.915.875/0005-15</t>
  </si>
  <si>
    <t>48.973.705/0024-08</t>
  </si>
  <si>
    <t>(15) 3219-1158</t>
  </si>
  <si>
    <t>15 99153-6793</t>
  </si>
  <si>
    <t>Rua Paraibuna</t>
  </si>
  <si>
    <t>loja063@oscarcalcados.com.br</t>
  </si>
  <si>
    <t>gerente063@oscarcalcados.com.br</t>
  </si>
  <si>
    <t>Vila Nair</t>
  </si>
  <si>
    <t>064 - Araraquara</t>
  </si>
  <si>
    <t>14801295</t>
  </si>
  <si>
    <t>12231-010</t>
  </si>
  <si>
    <t>Rua 9 de Julho</t>
  </si>
  <si>
    <t>793</t>
  </si>
  <si>
    <t>Araraquara</t>
  </si>
  <si>
    <t>48.973.705/0020-84</t>
  </si>
  <si>
    <t>(16) 3301-0904</t>
  </si>
  <si>
    <t>16 97400-1925</t>
  </si>
  <si>
    <t>loja064@oscarcalcados.com.br</t>
  </si>
  <si>
    <t>gerente064@oscarcalcados.com.br</t>
  </si>
  <si>
    <t>065 - Mogi Mirim</t>
  </si>
  <si>
    <t>13800185</t>
  </si>
  <si>
    <t>Rua Quinze de Novembro</t>
  </si>
  <si>
    <t>102</t>
  </si>
  <si>
    <t>Mogi Mirim</t>
  </si>
  <si>
    <t>48.973.705/0018-60</t>
  </si>
  <si>
    <t>(19) 3814-0021</t>
  </si>
  <si>
    <t>011 - Arezzo Vale Sul Shopp</t>
  </si>
  <si>
    <t>12 97411-6633</t>
  </si>
  <si>
    <t>Avs Comercio De Calcados Ltda</t>
  </si>
  <si>
    <t>loja065@oscarcalcados.com.br</t>
  </si>
  <si>
    <t>gerente065@oscarcalcados.com.br</t>
  </si>
  <si>
    <t>066 - Mogi Guaçu</t>
  </si>
  <si>
    <t>Avenida Andromeda</t>
  </si>
  <si>
    <t>13840035</t>
  </si>
  <si>
    <t>Rua Apolinário</t>
  </si>
  <si>
    <t>Jardim Satelite</t>
  </si>
  <si>
    <t>Mogi Guaçu</t>
  </si>
  <si>
    <t>E-mail Loja:</t>
  </si>
  <si>
    <t>Sao Jose Dos Campos</t>
  </si>
  <si>
    <t>48.973.705/0019-40</t>
  </si>
  <si>
    <t>(18) 3607-2279</t>
  </si>
  <si>
    <t>12 97813-0006</t>
  </si>
  <si>
    <t>loja066@oscarcalcados.com.br</t>
  </si>
  <si>
    <t>(12) 97411-6754</t>
  </si>
  <si>
    <t>gerente066@oscarcalcados.com.br</t>
  </si>
  <si>
    <t>067 - Oriente Shopp</t>
  </si>
  <si>
    <t>12235050</t>
  </si>
  <si>
    <t>Rua Andorra</t>
  </si>
  <si>
    <t>500</t>
  </si>
  <si>
    <t>Jardim América</t>
  </si>
  <si>
    <t>50.915.875/0011-63</t>
  </si>
  <si>
    <t>(12) 3932-5654</t>
  </si>
  <si>
    <t>12 97410-0256</t>
  </si>
  <si>
    <t>loja067@oscarcalcados.com.br</t>
  </si>
  <si>
    <t>gerente067@oscarcalcados.com.br</t>
  </si>
  <si>
    <t>068 - Bauru</t>
  </si>
  <si>
    <t>17010001</t>
  </si>
  <si>
    <t>Rua Batista de Carvalho</t>
  </si>
  <si>
    <t>R Constantino Calcados Ltda</t>
  </si>
  <si>
    <t>5</t>
  </si>
  <si>
    <t>48.973.705/0012-74</t>
  </si>
  <si>
    <t>(14) 3102-1139</t>
  </si>
  <si>
    <t>12 97406-0288</t>
  </si>
  <si>
    <t>loja068@oscarcalcados.com.br</t>
  </si>
  <si>
    <t>12216-580</t>
  </si>
  <si>
    <t>gerente068@oscarcalcados.com.br</t>
  </si>
  <si>
    <t>(12) 97404-4892</t>
  </si>
  <si>
    <t>070 - Anacapri Centervale Shopping</t>
  </si>
  <si>
    <t>Avenida Deputado Benedito Matarazzo, loja m 305</t>
  </si>
  <si>
    <t>E-mail Gerente:</t>
  </si>
  <si>
    <t>48.145.491/0001-95</t>
  </si>
  <si>
    <t>(12) 3946-8300</t>
  </si>
  <si>
    <t>12 992286119</t>
  </si>
  <si>
    <t>loja070@lojasanacapri.com.br</t>
  </si>
  <si>
    <t>gerente070@lojasanacapri.com.br</t>
  </si>
  <si>
    <t>071 - Anacapri Valesul Shopping</t>
  </si>
  <si>
    <t>12230-000</t>
  </si>
  <si>
    <t>Avenida Andrômeda, loja suc 202a</t>
  </si>
  <si>
    <t>013 - Arezzo Shopp Colinas</t>
  </si>
  <si>
    <t>Ofs Comercio De Calcados Ltda</t>
  </si>
  <si>
    <t>48.277.781/0001-92</t>
  </si>
  <si>
    <t>(12) 3935-4079</t>
  </si>
  <si>
    <t>12 97411-3506</t>
  </si>
  <si>
    <t>loja071@lojasanacapri.com.br</t>
  </si>
  <si>
    <t>gerente071@lojasanacapri.com.br</t>
  </si>
  <si>
    <t xml:space="preserve">072 - Oscar Novo Shopping Ribeirão Preto </t>
  </si>
  <si>
    <t>Diretor:</t>
  </si>
  <si>
    <t>14.096-350</t>
  </si>
  <si>
    <t>Avenida Presidente Kennedy, loja arcos 172,174,176,178</t>
  </si>
  <si>
    <t>1500</t>
  </si>
  <si>
    <t>Ribeirânia</t>
  </si>
  <si>
    <t>48.973.705/0008-98</t>
  </si>
  <si>
    <t>(12) 97411-5572</t>
  </si>
  <si>
    <t>16 99335-5751</t>
  </si>
  <si>
    <t>loja072@oscarcalcados.com.br</t>
  </si>
  <si>
    <t>gerente072@oscarcalcados.com.br</t>
  </si>
  <si>
    <t>073 - Anacapri Oriente Shopping</t>
  </si>
  <si>
    <t>12.235-050</t>
  </si>
  <si>
    <t>Rua Andorra, loja 214</t>
  </si>
  <si>
    <t>48.145.491/0002-76</t>
  </si>
  <si>
    <t>(12) 3932-4822</t>
  </si>
  <si>
    <t>12 99229-7356</t>
  </si>
  <si>
    <t>015 - Victor Hugo Cv</t>
  </si>
  <si>
    <t>Iacr Comercial Ltda</t>
  </si>
  <si>
    <t>(12) 97407-7463</t>
  </si>
  <si>
    <t>loja073@lojasanacapri.com.br</t>
  </si>
  <si>
    <t>gerente073@lojasanacapri.com.br</t>
  </si>
  <si>
    <t>12500-150</t>
  </si>
  <si>
    <t>074 - Jô Piracicaba Shopping</t>
  </si>
  <si>
    <t>(12) 97411-1083</t>
  </si>
  <si>
    <t>13.414-900</t>
  </si>
  <si>
    <t>Av Limeira, sala c57,59,62,63 p-58</t>
  </si>
  <si>
    <t>722</t>
  </si>
  <si>
    <t>Areião</t>
  </si>
  <si>
    <t>48.973.705/0035-60</t>
  </si>
  <si>
    <t>(19) 3412-1028</t>
  </si>
  <si>
    <t>017 - Tênis Vs</t>
  </si>
  <si>
    <t>Vsc Calcados Ltda</t>
  </si>
  <si>
    <t>19 99391-7528</t>
  </si>
  <si>
    <t>IP:</t>
  </si>
  <si>
    <t>(12) 97402-7510</t>
  </si>
  <si>
    <t>loja074@oscarcalcados.com.br</t>
  </si>
  <si>
    <t>gerente074@oscarcalcados.com.br</t>
  </si>
  <si>
    <t>018 - Arezzo Jacarei Shopp</t>
  </si>
  <si>
    <t>Arsj Comercio De Calcados Ltda</t>
  </si>
  <si>
    <t>075 - Oscar Shopping Cruzeiro</t>
  </si>
  <si>
    <t>12.730-010</t>
  </si>
  <si>
    <t>Rua Doutor Othon Barcelos, loja 09,10,11,12,13</t>
  </si>
  <si>
    <t>Itagaçaba</t>
  </si>
  <si>
    <t>Rua Barão De Jacareí</t>
  </si>
  <si>
    <t>Cruzeiro</t>
  </si>
  <si>
    <t>50.915.875/0034-50</t>
  </si>
  <si>
    <t>12308-001</t>
  </si>
  <si>
    <t>12 99218-1689</t>
  </si>
  <si>
    <t>Versão MegaStore:</t>
  </si>
  <si>
    <t>(12) 97411-3673</t>
  </si>
  <si>
    <t>loja075@oscarcalcados.com.br</t>
  </si>
  <si>
    <t>gerente075@oscarcalcados.com.br</t>
  </si>
  <si>
    <t>076 - Oscar Calçados Motorama</t>
  </si>
  <si>
    <t>12.2240-10</t>
  </si>
  <si>
    <t>Rua dos Lírios, loja 02</t>
  </si>
  <si>
    <t>459</t>
  </si>
  <si>
    <t>Jardim Motorama</t>
  </si>
  <si>
    <t>(12) 3932-0068</t>
  </si>
  <si>
    <t>12 99205-6082</t>
  </si>
  <si>
    <t>loja076@oscarcalcados.com.br</t>
  </si>
  <si>
    <t>gerente076@oscarcalcados.com.br</t>
  </si>
  <si>
    <t>Link Internet:</t>
  </si>
  <si>
    <t>077 - Oscar Jundiaí</t>
  </si>
  <si>
    <t>13215900</t>
  </si>
  <si>
    <t>(12) 97411-7172</t>
  </si>
  <si>
    <t>Avenida Antonio Frederico Ozanan</t>
  </si>
  <si>
    <t>6000</t>
  </si>
  <si>
    <t>Vila Rio Branco</t>
  </si>
  <si>
    <t>Jundiai</t>
  </si>
  <si>
    <t>48.973.705/0037-22</t>
  </si>
  <si>
    <t>(11) 947898933</t>
  </si>
  <si>
    <t>loja077@oscarcalcados.com.br</t>
  </si>
  <si>
    <t>gerente077@oscarcalcados.com.br</t>
  </si>
  <si>
    <t>078 - Oscar Bauru</t>
  </si>
  <si>
    <t>17013113</t>
  </si>
  <si>
    <t>Rua General Marcondes Salgado</t>
  </si>
  <si>
    <t>Versão Retaguarda:</t>
  </si>
  <si>
    <t>1139</t>
  </si>
  <si>
    <t>50.915.875/0017-59</t>
  </si>
  <si>
    <t>Chacara das Flores</t>
  </si>
  <si>
    <t>48.973.705/0036-41</t>
  </si>
  <si>
    <t>(14) 991823834</t>
  </si>
  <si>
    <t>Parque Senhor Do Bonfim</t>
  </si>
  <si>
    <t>loja078@oscarcalcados.com.br</t>
  </si>
  <si>
    <t>gerente078@oscarcalcados.com.br</t>
  </si>
  <si>
    <t>12040-900</t>
  </si>
  <si>
    <t>101 - Jô Botucatu</t>
  </si>
  <si>
    <t>(12) 97411-5917</t>
  </si>
  <si>
    <t>18600410</t>
  </si>
  <si>
    <t>Praça Comendador Emílio Pedutti</t>
  </si>
  <si>
    <t>35</t>
  </si>
  <si>
    <t>Botucatu</t>
  </si>
  <si>
    <t>48.973.705/0001-11</t>
  </si>
  <si>
    <t>(14) 3881-2054</t>
  </si>
  <si>
    <t>14 97400-1059</t>
  </si>
  <si>
    <t>Operadora:</t>
  </si>
  <si>
    <t>loja101@oscarcalcados.com.br</t>
  </si>
  <si>
    <t>gerente101@oscarcalcados.com.br</t>
  </si>
  <si>
    <t>102 - Ituiutaba</t>
  </si>
  <si>
    <t>38300076</t>
  </si>
  <si>
    <t>Rua Vinte e Dois</t>
  </si>
  <si>
    <t>Jsc Comercio De Calcados Ltda</t>
  </si>
  <si>
    <t>616</t>
  </si>
  <si>
    <t>05.908.530/0001-56</t>
  </si>
  <si>
    <t>Ituiutaba</t>
  </si>
  <si>
    <t>Fechada</t>
  </si>
  <si>
    <t>48.973.705/0034-80</t>
  </si>
  <si>
    <t>(34) 3402-1065</t>
  </si>
  <si>
    <t>34 8439-4511</t>
  </si>
  <si>
    <t>loja102@oscarcalcados.com.br</t>
  </si>
  <si>
    <t>gerente102@oscarcalcados.com.br</t>
  </si>
  <si>
    <t>Versão Frente:</t>
  </si>
  <si>
    <t>105 - Uberaba</t>
  </si>
  <si>
    <t>38010020</t>
  </si>
  <si>
    <t>(12) 97411-1976</t>
  </si>
  <si>
    <t>Rua Artur Machado</t>
  </si>
  <si>
    <t>41</t>
  </si>
  <si>
    <t>Uberaba</t>
  </si>
  <si>
    <t>48.973.705/0033-07</t>
  </si>
  <si>
    <t>(34) 3025-0886</t>
  </si>
  <si>
    <t>34 7400-6023</t>
  </si>
  <si>
    <t>loja105@oscarcalcados.com.br</t>
  </si>
  <si>
    <t>gerente105@oscarcalcados.com.br</t>
  </si>
  <si>
    <t>106 - Rio Preto CL1</t>
  </si>
  <si>
    <t>2928</t>
  </si>
  <si>
    <t>Tipo Conexão:</t>
  </si>
  <si>
    <t>48.973.705/0011-93</t>
  </si>
  <si>
    <t>Avenida Juscelino Kubitschek De Oliveira</t>
  </si>
  <si>
    <t>(17) 3214-4309</t>
  </si>
  <si>
    <t>17 97400-5079</t>
  </si>
  <si>
    <t>Campo Do Galvão</t>
  </si>
  <si>
    <t>loja106@oscarcalcados.com.br</t>
  </si>
  <si>
    <t>12505-300</t>
  </si>
  <si>
    <t>gerente106@oscarcalcados.com.br</t>
  </si>
  <si>
    <t>(12) 97403-3715</t>
  </si>
  <si>
    <t>108 - Jô Votuporanga</t>
  </si>
  <si>
    <t>15500004</t>
  </si>
  <si>
    <t>Rua Amazonas</t>
  </si>
  <si>
    <t>3281</t>
  </si>
  <si>
    <t>Patrimônio Novo</t>
  </si>
  <si>
    <t>Votuporanga</t>
  </si>
  <si>
    <t>48.973.705/0017-89</t>
  </si>
  <si>
    <t>(17) 3426-5477</t>
  </si>
  <si>
    <t>17 97400-2447</t>
  </si>
  <si>
    <t>loja108@oscarcalcados.com.br</t>
  </si>
  <si>
    <t>gerente108@oscarcalcados.com.br</t>
  </si>
  <si>
    <t>109 - Jô Araraquara Mega</t>
  </si>
  <si>
    <t>991</t>
  </si>
  <si>
    <t>024 - Stock Show Sjc</t>
  </si>
  <si>
    <t>Estoque Vale Comercio De Calcados Ltda</t>
  </si>
  <si>
    <t>Ambiente:</t>
  </si>
  <si>
    <t>48.973.705/0021-65</t>
  </si>
  <si>
    <t>(16) 3303-0289</t>
  </si>
  <si>
    <t>Grupo Stock Show Sjc</t>
  </si>
  <si>
    <t>16 97400-2919</t>
  </si>
  <si>
    <t>loja109@oscarcalcados.com.br</t>
  </si>
  <si>
    <t>gerente109@oscarcalcados.com.br</t>
  </si>
  <si>
    <t>111 - Jô Franca</t>
  </si>
  <si>
    <t>14400690</t>
  </si>
  <si>
    <t>12210-200</t>
  </si>
  <si>
    <t>Rua Major Claudiano</t>
  </si>
  <si>
    <t>1950</t>
  </si>
  <si>
    <t>Franca</t>
  </si>
  <si>
    <t>(12) 97411-4525</t>
  </si>
  <si>
    <t>48.973.705/0022-46</t>
  </si>
  <si>
    <t>(16) 3939-9781</t>
  </si>
  <si>
    <t>16 97403-0489</t>
  </si>
  <si>
    <t>loja111@oscarcalcados.com.br</t>
  </si>
  <si>
    <t>gerente111@oscarcalcados.com.br</t>
  </si>
  <si>
    <t>113 - Uberlândia</t>
  </si>
  <si>
    <t>38400100</t>
  </si>
  <si>
    <t>Av. Floriano Peixoto</t>
  </si>
  <si>
    <t>396</t>
  </si>
  <si>
    <t>PDVs:</t>
  </si>
  <si>
    <t>Uberlândia</t>
  </si>
  <si>
    <t>48.973.705/0032-18</t>
  </si>
  <si>
    <t>(34) 3458-9883</t>
  </si>
  <si>
    <t>34 7400-6637</t>
  </si>
  <si>
    <t>loja113@oscarcalcados.com.br</t>
  </si>
  <si>
    <t>gerente113@oscarcalcados.com.br</t>
  </si>
  <si>
    <t>114 - Limeira</t>
  </si>
  <si>
    <t>13480005</t>
  </si>
  <si>
    <t>Rua Senador Vergueiro</t>
  </si>
  <si>
    <t>Limeira</t>
  </si>
  <si>
    <t>48.973.705/0031-37</t>
  </si>
  <si>
    <t>idestabelecimento</t>
  </si>
  <si>
    <t>(19) 3404-1774</t>
  </si>
  <si>
    <t>19 97401-2656</t>
  </si>
  <si>
    <t>ds_status</t>
  </si>
  <si>
    <t>nm_razaosocial</t>
  </si>
  <si>
    <t>nm_nomefantasia</t>
  </si>
  <si>
    <t>num_cnpj</t>
  </si>
  <si>
    <t>loja114@oscarcalcados.com.br</t>
  </si>
  <si>
    <t>num_inscricaoestadual</t>
  </si>
  <si>
    <t>gerente114@oscarcalcados.com.br</t>
  </si>
  <si>
    <t>Homologação:</t>
  </si>
  <si>
    <t>nk_idunidadenegocio</t>
  </si>
  <si>
    <t>ds_sigla</t>
  </si>
  <si>
    <t>num_cep</t>
  </si>
  <si>
    <t>ds_uf</t>
  </si>
  <si>
    <t>115 - Jô Ourinhos</t>
  </si>
  <si>
    <t>(12) 99114-8360</t>
  </si>
  <si>
    <t>ds_localidade</t>
  </si>
  <si>
    <t>19900080</t>
  </si>
  <si>
    <t>ds_bairro</t>
  </si>
  <si>
    <t>Rua Antônio Carlos Mori</t>
  </si>
  <si>
    <t>273</t>
  </si>
  <si>
    <t>num_numero</t>
  </si>
  <si>
    <t>ds_logradouro</t>
  </si>
  <si>
    <t>Ourinhos</t>
  </si>
  <si>
    <t>ds_rua_shop</t>
  </si>
  <si>
    <t>loja_importante</t>
  </si>
  <si>
    <t>48.973.705/0002-00</t>
  </si>
  <si>
    <t>ds_unidadenegocio</t>
  </si>
  <si>
    <t>ds_bandeira</t>
  </si>
  <si>
    <t>(14) 3302-9190</t>
  </si>
  <si>
    <t>grupo_financeiro</t>
  </si>
  <si>
    <t>14 97400-1431</t>
  </si>
  <si>
    <t>diretor</t>
  </si>
  <si>
    <t>regional</t>
  </si>
  <si>
    <t>status_funcionamento_loja</t>
  </si>
  <si>
    <t>ds_varejo</t>
  </si>
  <si>
    <t>loja115@oscarcalcados.com.br</t>
  </si>
  <si>
    <t>metragem</t>
  </si>
  <si>
    <t>gerente115@oscarcalcados.com.br</t>
  </si>
  <si>
    <t>email_loja</t>
  </si>
  <si>
    <t>A</t>
  </si>
  <si>
    <t>116 - Jô São Carlos</t>
  </si>
  <si>
    <t>13560640</t>
  </si>
  <si>
    <t>Rua General Ozorio</t>
  </si>
  <si>
    <t>848</t>
  </si>
  <si>
    <t>Jardim São Carlos</t>
  </si>
  <si>
    <t>Servidor Local:</t>
  </si>
  <si>
    <t>São Carlos</t>
  </si>
  <si>
    <t>028 - Taub Ct</t>
  </si>
  <si>
    <t>48.973.705/0030-56</t>
  </si>
  <si>
    <t>Rua</t>
  </si>
  <si>
    <t>(16) 3373-1020</t>
  </si>
  <si>
    <t>S</t>
  </si>
  <si>
    <t>16 97403-0556</t>
  </si>
  <si>
    <t>Praça Dom Epaminondas</t>
  </si>
  <si>
    <t>loja116@oscarcalcados.com.br</t>
  </si>
  <si>
    <t>Varejo Oscar</t>
  </si>
  <si>
    <t>gerente116@oscarcalcados.com.br</t>
  </si>
  <si>
    <t>117 - Jô Bauru</t>
  </si>
  <si>
    <t>17010000</t>
  </si>
  <si>
    <t>12010-020</t>
  </si>
  <si>
    <t>461</t>
  </si>
  <si>
    <t>48.973.705/0016-06</t>
  </si>
  <si>
    <t>N</t>
  </si>
  <si>
    <t>(14) 3102-0000</t>
  </si>
  <si>
    <t>14 97400-1352</t>
  </si>
  <si>
    <t>Última Atualização:</t>
  </si>
  <si>
    <t>loja117@oscarcalcados.com.br</t>
  </si>
  <si>
    <t>gerente117@oscarcalcados.com.br</t>
  </si>
  <si>
    <t>118 - Jô Catanduva</t>
  </si>
  <si>
    <t>15800215</t>
  </si>
  <si>
    <t>Praça Monsenhor Albino</t>
  </si>
  <si>
    <t>80</t>
  </si>
  <si>
    <t>Catanduva</t>
  </si>
  <si>
    <t>48.973.705/0015-17</t>
  </si>
  <si>
    <t>030 - E-Commerce</t>
  </si>
  <si>
    <t>(17) 3525-5586</t>
  </si>
  <si>
    <t>Oscar Calçados Ltda</t>
  </si>
  <si>
    <t>17 97400-6025</t>
  </si>
  <si>
    <t>50.915.875/9999-62</t>
  </si>
  <si>
    <t>Grupo Oscar Ecommerce</t>
  </si>
  <si>
    <t>loja118@oscarcalcados.com.br</t>
  </si>
  <si>
    <t>Rua Serra Do Parima</t>
  </si>
  <si>
    <t>392.478.396.111</t>
  </si>
  <si>
    <t>gerente118@oscarcalcados.com.br</t>
  </si>
  <si>
    <t>Jardim Anhembi</t>
  </si>
  <si>
    <t>Modelo Equip.:</t>
  </si>
  <si>
    <t>119 - Jô Barretos</t>
  </si>
  <si>
    <t>14780300</t>
  </si>
  <si>
    <t>12235-210</t>
  </si>
  <si>
    <t>Avenida 19</t>
  </si>
  <si>
    <t>875</t>
  </si>
  <si>
    <t>Barretos</t>
  </si>
  <si>
    <t>48.973.705/0029-12</t>
  </si>
  <si>
    <t>(17) 3321-7659</t>
  </si>
  <si>
    <t>17 97400-5534</t>
  </si>
  <si>
    <t>loja119@oscarcalcados.com.br</t>
  </si>
  <si>
    <t>gerente119@oscarcalcados.com.br</t>
  </si>
  <si>
    <t>120 - Jô Presidente Prudente</t>
  </si>
  <si>
    <t>19010-061</t>
  </si>
  <si>
    <t>Rua Siqueira Campos</t>
  </si>
  <si>
    <t>615</t>
  </si>
  <si>
    <t>Presidente Prudene</t>
  </si>
  <si>
    <t>48.973.705/0007-07</t>
  </si>
  <si>
    <t>(18) 3221-8849</t>
  </si>
  <si>
    <t>18 97400-2276</t>
  </si>
  <si>
    <t>Constantino Calcados E Acessorios Ltda</t>
  </si>
  <si>
    <t>loja120@oscarcalcados.com.br</t>
  </si>
  <si>
    <t>gerente120@oscarcalcados.com.br</t>
  </si>
  <si>
    <t>Grupo Constantino</t>
  </si>
  <si>
    <t>121 - Jô Caçapava</t>
  </si>
  <si>
    <t>12281620</t>
  </si>
  <si>
    <t>185</t>
  </si>
  <si>
    <t>Jardim Armenia</t>
  </si>
  <si>
    <t>Mogi Das Cruzes</t>
  </si>
  <si>
    <t>Caçapava</t>
  </si>
  <si>
    <t>40.591.677/0001-66</t>
  </si>
  <si>
    <t>08780-500</t>
  </si>
  <si>
    <t>(12) 3654-7349</t>
  </si>
  <si>
    <t>12 99181-3882</t>
  </si>
  <si>
    <t>(11) 94078-0983</t>
  </si>
  <si>
    <t>loja121@oscarcalcados.com.br</t>
  </si>
  <si>
    <t>gerente121@oscarcalcados.com.br</t>
  </si>
  <si>
    <t>122 - Jô Taubaté Shopp</t>
  </si>
  <si>
    <t>Notas:</t>
  </si>
  <si>
    <t>Parque Senhor do Bonfim</t>
  </si>
  <si>
    <t>50.915.875/0026-40</t>
  </si>
  <si>
    <t>Jô Calçados</t>
  </si>
  <si>
    <t>(12) 3625-2649</t>
  </si>
  <si>
    <t>12 97409-4938</t>
  </si>
  <si>
    <t>loja122@jocalcados.com.br</t>
  </si>
  <si>
    <t>gerente122@jocalcados.com.br</t>
  </si>
  <si>
    <t>123 - Resende Ct</t>
  </si>
  <si>
    <t>27542070</t>
  </si>
  <si>
    <t>160.078.052.110</t>
  </si>
  <si>
    <t>Avenida Albino de Almeida</t>
  </si>
  <si>
    <t>Campos Elíseos</t>
  </si>
  <si>
    <t>Resende</t>
  </si>
  <si>
    <t xml:space="preserve">50.915.875/0033-79 </t>
  </si>
  <si>
    <t>(24) 3032-4076</t>
  </si>
  <si>
    <t>21 96422-1103</t>
  </si>
  <si>
    <t>loja123@oscarcalcados.com.br</t>
  </si>
  <si>
    <t>gerente123@oscarcalcados.com.br</t>
  </si>
  <si>
    <t>(11) 94009-5981</t>
  </si>
  <si>
    <t>124 - Oscar CL1</t>
  </si>
  <si>
    <t>115</t>
  </si>
  <si>
    <t>50.915.875/0027-20</t>
  </si>
  <si>
    <t>(12) 3908-9007</t>
  </si>
  <si>
    <t>12 97411-0774</t>
  </si>
  <si>
    <t>033 - Mogi Centro</t>
  </si>
  <si>
    <t>loja124@oscarcalcados.com.br</t>
  </si>
  <si>
    <t>Hrc Comercio De Calcados Ltda</t>
  </si>
  <si>
    <t>gerente124@oscarcalcados.com.br</t>
  </si>
  <si>
    <t>68.910.587/0001-00</t>
  </si>
  <si>
    <t>125 - Jô CL2</t>
  </si>
  <si>
    <t>Rua Doutor Paulo Frontin</t>
  </si>
  <si>
    <t>358</t>
  </si>
  <si>
    <t>50.915.875/0028-01</t>
  </si>
  <si>
    <t>(12) 3947-9696</t>
  </si>
  <si>
    <t>12 97411-9761</t>
  </si>
  <si>
    <t>loja125@jocalcados.com.br</t>
  </si>
  <si>
    <t>gerente125@jocalcados.com.br</t>
  </si>
  <si>
    <t>08710-050</t>
  </si>
  <si>
    <t>126 - Jô Guaratinguetá</t>
  </si>
  <si>
    <t>12500020</t>
  </si>
  <si>
    <t>Praça Conselheiro Rodrigues Alves</t>
  </si>
  <si>
    <t>107</t>
  </si>
  <si>
    <t>50.915.875/0029-92</t>
  </si>
  <si>
    <t>(12) 3128-3392</t>
  </si>
  <si>
    <t>12 97411-7325</t>
  </si>
  <si>
    <t>loja126@jocalcados.com.br</t>
  </si>
  <si>
    <t>gerente126@jocalcados.com.br</t>
  </si>
  <si>
    <t>034 - Stock Show Bc</t>
  </si>
  <si>
    <t>127 - Jô Js</t>
  </si>
  <si>
    <t>12327005</t>
  </si>
  <si>
    <t>Stock Bras Cubas Ltda</t>
  </si>
  <si>
    <t>Rua Alfredo Schurig</t>
  </si>
  <si>
    <t>418</t>
  </si>
  <si>
    <t>Demais Bandeiras</t>
  </si>
  <si>
    <t>50.915.875/0030-26</t>
  </si>
  <si>
    <t>Rua Francisco Afonso De Melo</t>
  </si>
  <si>
    <t>(12) 3954-0798</t>
  </si>
  <si>
    <t>12 99231-7136</t>
  </si>
  <si>
    <t>Vila Bras Cubas</t>
  </si>
  <si>
    <t>loja127@oscarcalcados.com.br</t>
  </si>
  <si>
    <t>gerente127@oscarcalcados.com.br</t>
  </si>
  <si>
    <t>128 - Jô Taubaté Ct</t>
  </si>
  <si>
    <t>12010070</t>
  </si>
  <si>
    <t>Rua Carneiro de Souza</t>
  </si>
  <si>
    <t>(11) 34024-0939</t>
  </si>
  <si>
    <t>147</t>
  </si>
  <si>
    <t>50.915.875/0031-07</t>
  </si>
  <si>
    <t>(12) 3634-6557</t>
  </si>
  <si>
    <t>12 97411-9618</t>
  </si>
  <si>
    <t>loja128@oscarcalcados.com.br</t>
  </si>
  <si>
    <t>gerente128@oscarcalcados.com.br</t>
  </si>
  <si>
    <t>201 - Matriz Carioca</t>
  </si>
  <si>
    <t>R. Cel. Pedro Demoro</t>
  </si>
  <si>
    <t>Balneario</t>
  </si>
  <si>
    <t>Florianópolis</t>
  </si>
  <si>
    <t>78.842.440/0001-83</t>
  </si>
  <si>
    <t>Carioca Calçados</t>
  </si>
  <si>
    <t>48 - 3281-6301</t>
  </si>
  <si>
    <t>48 8404-2518</t>
  </si>
  <si>
    <t>Cerutti</t>
  </si>
  <si>
    <t>C4</t>
  </si>
  <si>
    <t>035 - Stock Show Sz</t>
  </si>
  <si>
    <t>loja201@cariocacalcados.com.br</t>
  </si>
  <si>
    <t>Stock Show Suzano Ltda</t>
  </si>
  <si>
    <t>gerente201@cariocacalcados.com.br</t>
  </si>
  <si>
    <t>202 - Joinville Carioca</t>
  </si>
  <si>
    <t>R. Quinze de Novembro</t>
  </si>
  <si>
    <t>C</t>
  </si>
  <si>
    <t>Joinville</t>
  </si>
  <si>
    <t>Enac Calçados Ltda</t>
  </si>
  <si>
    <t>Ñ 014 - Schutz</t>
  </si>
  <si>
    <t>78.842.440/0023-99</t>
  </si>
  <si>
    <t>Conjunto Residencial Ir</t>
  </si>
  <si>
    <t>47- 7400-4895</t>
  </si>
  <si>
    <t>7400-4895</t>
  </si>
  <si>
    <t>Monte Castelo</t>
  </si>
  <si>
    <t>Avenida Brasil</t>
  </si>
  <si>
    <t>loja202@cariocacalcados.com.br</t>
  </si>
  <si>
    <t>Ñ Grupo Schutz</t>
  </si>
  <si>
    <t>gerente202@cariocacalcados.com.br</t>
  </si>
  <si>
    <t>(11) 94794-0416</t>
  </si>
  <si>
    <t>204 - Bom Passo Carioca</t>
  </si>
  <si>
    <t>78.842.440/0009-30</t>
  </si>
  <si>
    <t>48- 3281-6304</t>
  </si>
  <si>
    <t>48 8404-2747</t>
  </si>
  <si>
    <t>036 - Scarlen Shopp Suzan</t>
  </si>
  <si>
    <t>Scarlen Calcados Ltda</t>
  </si>
  <si>
    <t>332.292.808.114</t>
  </si>
  <si>
    <t>loja204@cariocacalcados.com.br</t>
  </si>
  <si>
    <t>gerente204@cariocacalcados.com.br</t>
  </si>
  <si>
    <t>205 - Ingleses</t>
  </si>
  <si>
    <t>Rod. Armando Calil Bulos</t>
  </si>
  <si>
    <t>Ingleses Norte</t>
  </si>
  <si>
    <t>78.842.440/0020-46</t>
  </si>
  <si>
    <t>48- 3281-6305</t>
  </si>
  <si>
    <t>48 9982-2841</t>
  </si>
  <si>
    <t>loja205@cariocacalcados.com.br</t>
  </si>
  <si>
    <t>loja036@scarlen.com.br</t>
  </si>
  <si>
    <t>gerente205@cariocacalcados.com.br</t>
  </si>
  <si>
    <t>208 - Balneário Carioca</t>
  </si>
  <si>
    <t>Av. Central</t>
  </si>
  <si>
    <t>Balneário Camboriú</t>
  </si>
  <si>
    <t>78.842.440/0002-64</t>
  </si>
  <si>
    <t>47 -3367-5961</t>
  </si>
  <si>
    <t>47 3367-5961</t>
  </si>
  <si>
    <t>loja208@cariocacalcados.com.br</t>
  </si>
  <si>
    <t>037 - Scarlen Mogi Centro</t>
  </si>
  <si>
    <t>gerente208@cariocacalcados.com.br</t>
  </si>
  <si>
    <t>392.119.466.111</t>
  </si>
  <si>
    <t>Helena Cazarine Calcados E Acessorios Ltda</t>
  </si>
  <si>
    <t>209 - Schmidt Cl 1 Ct Carioca</t>
  </si>
  <si>
    <t>R. Felipe Schmidt</t>
  </si>
  <si>
    <t>Rua Braz Cubas</t>
  </si>
  <si>
    <t>78.842.440/0003-45</t>
  </si>
  <si>
    <t>48- 3281-6309</t>
  </si>
  <si>
    <t>48 9836-0064</t>
  </si>
  <si>
    <t>loja209@cariocacalcados.com.br</t>
  </si>
  <si>
    <t>gerente209@cariocacalcados.com.br</t>
  </si>
  <si>
    <t>loja037@scarlen.com.br</t>
  </si>
  <si>
    <t>211 - Itaguaçú 1 Shopp Carioca</t>
  </si>
  <si>
    <t>R. Gerôncio Thives</t>
  </si>
  <si>
    <t>Barreiros</t>
  </si>
  <si>
    <t>São José</t>
  </si>
  <si>
    <t>78.842.440/0004-26</t>
  </si>
  <si>
    <t>48- 3281-6311</t>
  </si>
  <si>
    <t>48 9836-0093</t>
  </si>
  <si>
    <t>loja211@cariocacalcados.com.br</t>
  </si>
  <si>
    <t>gerente211@cariocacalcados.com.br</t>
  </si>
  <si>
    <t>212 - Kobrasol Carioca</t>
  </si>
  <si>
    <t>Av. Lédio João Martins</t>
  </si>
  <si>
    <t>Kobrasol</t>
  </si>
  <si>
    <t>038 - Scarlen Mogi Shopp</t>
  </si>
  <si>
    <t>78.842.440/0014-06</t>
  </si>
  <si>
    <t>Cazarine &amp; Constantino Ltda</t>
  </si>
  <si>
    <t>48 - 3281-6312</t>
  </si>
  <si>
    <t>Co Comercio De Confecções Ltda</t>
  </si>
  <si>
    <t>48 9836-0095</t>
  </si>
  <si>
    <t>Ñ 021 - Tenis Guará Shopp</t>
  </si>
  <si>
    <t>loja212@cariocacalcados.com.br</t>
  </si>
  <si>
    <t>gerente212@cariocacalcados.com.br</t>
  </si>
  <si>
    <t>214 - Itajaí Carioca</t>
  </si>
  <si>
    <t>R. Hercílio Luz</t>
  </si>
  <si>
    <t>Itajaí</t>
  </si>
  <si>
    <t>78.842.440/0005-07</t>
  </si>
  <si>
    <t>47- 3346-1501</t>
  </si>
  <si>
    <t>48 9836-0116</t>
  </si>
  <si>
    <t>loja214@cariocacalcados.com.br</t>
  </si>
  <si>
    <t>gerente214@cariocacalcados.com.br</t>
  </si>
  <si>
    <t>215 - Schmidt Cl 2 Ct Carioca</t>
  </si>
  <si>
    <t>039 - Cl Mg</t>
  </si>
  <si>
    <t>78.842.440/0017-40</t>
  </si>
  <si>
    <t>48-3281-6315</t>
  </si>
  <si>
    <t>48 9836-0082</t>
  </si>
  <si>
    <t>loja215@cariocacalcados.com.br</t>
  </si>
  <si>
    <t>gerente215@cariocacalcados.com.br</t>
  </si>
  <si>
    <t>216 - Sports Deodoro Ct Carioca</t>
  </si>
  <si>
    <t>R. Deodoro</t>
  </si>
  <si>
    <t>(11) 97827-1541</t>
  </si>
  <si>
    <t>78.842.440/0016-60</t>
  </si>
  <si>
    <t>48 3281 6316</t>
  </si>
  <si>
    <t>3333-0033</t>
  </si>
  <si>
    <t>loja216@cariocacalcados.com.br</t>
  </si>
  <si>
    <t>gerente216@cariocacalcados.com.br</t>
  </si>
  <si>
    <t>New Stock Jac Comercio De Calçados Ltda Epp</t>
  </si>
  <si>
    <t>Ñ 025 - Stock Show Jacarei</t>
  </si>
  <si>
    <t>217 - Sports Itaguaçú Shopp Carioca</t>
  </si>
  <si>
    <t>392.233.533-117</t>
  </si>
  <si>
    <t>Rua Coronel Carlos Porto</t>
  </si>
  <si>
    <t>78.842.440/0015-89</t>
  </si>
  <si>
    <t>48 - 3281-6317</t>
  </si>
  <si>
    <t>48 9836-0069</t>
  </si>
  <si>
    <t>040 - Arezzo Shopp Mogi</t>
  </si>
  <si>
    <t>Ccrh Comercio De Calcados Ltda</t>
  </si>
  <si>
    <t>loja217@cariocacalcados.com.br</t>
  </si>
  <si>
    <t>gerente217@cariocacalcados.com.br</t>
  </si>
  <si>
    <t>218 - Villa Romana Shopp Carioca</t>
  </si>
  <si>
    <t>Av. Me. Benvenuta</t>
  </si>
  <si>
    <t>Santa Monica</t>
  </si>
  <si>
    <t>78.842.440/0006-98</t>
  </si>
  <si>
    <t>48- 3281-6318</t>
  </si>
  <si>
    <t>48 9836-0120</t>
  </si>
  <si>
    <t>Col Calçados Ltda Epp</t>
  </si>
  <si>
    <t>Ñ 027 - Adidas Vs</t>
  </si>
  <si>
    <t>loja218@cariocacalcados.com.br</t>
  </si>
  <si>
    <t>gerente218@cariocacalcados.com.br</t>
  </si>
  <si>
    <t>(11) 91327-3036</t>
  </si>
  <si>
    <t>219 - Schmidt Cl 3 Ct Carioca</t>
  </si>
  <si>
    <t>Grupo Adidas</t>
  </si>
  <si>
    <t>78.842.440/0007-79</t>
  </si>
  <si>
    <t>48- 3281-6319</t>
  </si>
  <si>
    <t>48 9836-0113</t>
  </si>
  <si>
    <t>688.713.183.115</t>
  </si>
  <si>
    <t>loja219@cariocacalcados.com.br</t>
  </si>
  <si>
    <t>gerente219@cariocacalcados.com.br</t>
  </si>
  <si>
    <t>221 - Deodoro Ct Carioca</t>
  </si>
  <si>
    <t>50.915.875/0062-03</t>
  </si>
  <si>
    <t>78.842.440/0011-55</t>
  </si>
  <si>
    <t>48- 3281-6321</t>
  </si>
  <si>
    <t>48 9982-2071</t>
  </si>
  <si>
    <t>Ñ 029 - Resende Shopp</t>
  </si>
  <si>
    <t>Rua General Glicerio</t>
  </si>
  <si>
    <t>loja221@cariocacalcados.com.br</t>
  </si>
  <si>
    <t>gerente221@cariocacalcados.com.br</t>
  </si>
  <si>
    <t>Fazenda Castelo</t>
  </si>
  <si>
    <t>Avenida Dorival Marcondes Godoy</t>
  </si>
  <si>
    <t>223 - Itaguaçú 2 Shopp Carioca</t>
  </si>
  <si>
    <t>88117900</t>
  </si>
  <si>
    <t>15015-400</t>
  </si>
  <si>
    <t>78.842.440/0010-74</t>
  </si>
  <si>
    <t>(17) 97400-5794</t>
  </si>
  <si>
    <t>48- 3281-6323</t>
  </si>
  <si>
    <t>48 3281-6323</t>
  </si>
  <si>
    <t>loja223@cariocacalcados.com.br</t>
  </si>
  <si>
    <t>gerente223@cariocacalcados.com.br</t>
  </si>
  <si>
    <t>224 - Rua Sete Ct Carioca</t>
  </si>
  <si>
    <t>88010060</t>
  </si>
  <si>
    <t>R. Sete de Setembro</t>
  </si>
  <si>
    <t>78.842.440/0012-36</t>
  </si>
  <si>
    <t>48 - 3281-6324</t>
  </si>
  <si>
    <t>454.353.155.118</t>
  </si>
  <si>
    <t>48 98880-2375</t>
  </si>
  <si>
    <t>loja224@cariocacalcados.com.br</t>
  </si>
  <si>
    <t>Francisco Telles Marcondes Neto</t>
  </si>
  <si>
    <t>gerente224@cariocacalcados.com.br</t>
  </si>
  <si>
    <t>225 - Palhoça Carioca</t>
  </si>
  <si>
    <t>88130220</t>
  </si>
  <si>
    <t>R. Cel. Bernardino Machado</t>
  </si>
  <si>
    <t>Palhoça</t>
  </si>
  <si>
    <t>78.842.440/0013-17</t>
  </si>
  <si>
    <t>48- 3281-6325</t>
  </si>
  <si>
    <t>48 3281-6325</t>
  </si>
  <si>
    <t>loja225@cariocacalcados.com.br</t>
  </si>
  <si>
    <t>gerente225@cariocacalcados.com.br</t>
  </si>
  <si>
    <t>226 - Continente Shopp Carioca</t>
  </si>
  <si>
    <t>88104801</t>
  </si>
  <si>
    <t>Rodovia BR 101 - KM 210 - Esquina Rod. SC 281</t>
  </si>
  <si>
    <t>Distrito Industrial</t>
  </si>
  <si>
    <t>78.842.440/0018-21</t>
  </si>
  <si>
    <t>48- 3281-6326</t>
  </si>
  <si>
    <t>48 8823-0646</t>
  </si>
  <si>
    <t>loja226@cariocacalcados.com.br</t>
  </si>
  <si>
    <t>gerente226@cariocacalcados.com.br</t>
  </si>
  <si>
    <t>227 - Biguaçu Carioca</t>
  </si>
  <si>
    <t>88160130</t>
  </si>
  <si>
    <t>043 - Suzano Shopp</t>
  </si>
  <si>
    <t>R. Cel. Teixeira de Oliveira</t>
  </si>
  <si>
    <t>Biguaçu</t>
  </si>
  <si>
    <t>78.842.440/0022-08</t>
  </si>
  <si>
    <t>48- 3281-6327</t>
  </si>
  <si>
    <t>48 3281-6327</t>
  </si>
  <si>
    <t>loja227@cariocacalcados.com.br</t>
  </si>
  <si>
    <t>gerente227@cariocacalcados.com.br</t>
  </si>
  <si>
    <t>228 - Forquilhinhas Carioca</t>
  </si>
  <si>
    <t>88106501</t>
  </si>
  <si>
    <t>R. Ver. Arthur Manoel Mariano</t>
  </si>
  <si>
    <t>Forquilhinhas</t>
  </si>
  <si>
    <t>78.842.440/0019-02</t>
  </si>
  <si>
    <t>48- 3281-6328</t>
  </si>
  <si>
    <t>48 9982-2869</t>
  </si>
  <si>
    <t>loja228@cariocacalcados.com.br</t>
  </si>
  <si>
    <t>gerente228@cariocacalcados.com.br</t>
  </si>
  <si>
    <t>229 - Ingleses Carioca</t>
  </si>
  <si>
    <t>88058-001</t>
  </si>
  <si>
    <t>Rodovia Armando Calil Bulos</t>
  </si>
  <si>
    <t>5640</t>
  </si>
  <si>
    <t>Ingleses do Rio Vermelho</t>
  </si>
  <si>
    <t>78.842.440/0021-27</t>
  </si>
  <si>
    <t>48 8465-8542</t>
  </si>
  <si>
    <t>Jardim Britânia</t>
  </si>
  <si>
    <t xml:space="preserve"> loja229@cariocacalcados.com.br</t>
  </si>
  <si>
    <t>gerente229@cariocacalcados.com.br</t>
  </si>
  <si>
    <t>11666-000</t>
  </si>
  <si>
    <t>302 - Centro Histórico</t>
  </si>
  <si>
    <t>90030001</t>
  </si>
  <si>
    <t>RUA VOLUNTARIOS DA PATRIA, 316 LJ 01</t>
  </si>
  <si>
    <t>316</t>
  </si>
  <si>
    <t>CENTRO</t>
  </si>
  <si>
    <t>PORTO ALEGRE</t>
  </si>
  <si>
    <t>49.961.545/0033-30</t>
  </si>
  <si>
    <t>(12) 97405-1457</t>
  </si>
  <si>
    <t>Paquetá Calçados</t>
  </si>
  <si>
    <t>51 9732-6124</t>
  </si>
  <si>
    <t>TI PARTNER</t>
  </si>
  <si>
    <t>loja302@lojaspaqueta.com.br</t>
  </si>
  <si>
    <t>gerente302@lojaspaqueta.com.br</t>
  </si>
  <si>
    <t>306-PAQUETÁ PARKSHOPPING CANOAS</t>
  </si>
  <si>
    <t>92020475</t>
  </si>
  <si>
    <t>AVENIDA FARROUPILHA, 4545 2075 E 2076</t>
  </si>
  <si>
    <t>4545</t>
  </si>
  <si>
    <t>MARECHAL RONDON</t>
  </si>
  <si>
    <t>CANOAS</t>
  </si>
  <si>
    <t>50.915.875/0064-75</t>
  </si>
  <si>
    <t>49.961.545/0036-83</t>
  </si>
  <si>
    <t>Aracatuba</t>
  </si>
  <si>
    <t>loja306@lojaspaqueta.com.br</t>
  </si>
  <si>
    <t>gerente306@lojaspaqueta.com.br</t>
  </si>
  <si>
    <t>16010-300</t>
  </si>
  <si>
    <t>317-PAQUETÁ PROTÁSIO ALVES</t>
  </si>
  <si>
    <t>(18) 97400-4018</t>
  </si>
  <si>
    <t>90410004</t>
  </si>
  <si>
    <t>AV. PROTASIO ALVES, 28</t>
  </si>
  <si>
    <t>28</t>
  </si>
  <si>
    <t>RIO BRANCO</t>
  </si>
  <si>
    <t>49.961.545/0006-68</t>
  </si>
  <si>
    <t>51 9718-4349</t>
  </si>
  <si>
    <t>loja317@lojaspaqueta.com.br</t>
  </si>
  <si>
    <t>046 - Constantino Sjc</t>
  </si>
  <si>
    <t>gerente317@lojaspaqueta.com.br</t>
  </si>
  <si>
    <t>Bruno Cazarine Constantino</t>
  </si>
  <si>
    <t>50.666.937/0001-79</t>
  </si>
  <si>
    <t>318 - Paquetá Cachoeirinha</t>
  </si>
  <si>
    <t>94910002</t>
  </si>
  <si>
    <t>AV. GEN. FLORES DA CUNHA, 1280</t>
  </si>
  <si>
    <t>1280</t>
  </si>
  <si>
    <t>CACHOEIRINHA</t>
  </si>
  <si>
    <t>49.961.545/0023-69</t>
  </si>
  <si>
    <t>Paquetá Esportes</t>
  </si>
  <si>
    <t>51 9710-5478</t>
  </si>
  <si>
    <t>loja318@lojaspaqueta.com.br</t>
  </si>
  <si>
    <t>gerente318@lojaspaqueta.com.br</t>
  </si>
  <si>
    <t>319 - Paquetá Gravataí</t>
  </si>
  <si>
    <t>94010000</t>
  </si>
  <si>
    <t>AV. JOSE LOUREIRO DA SILVA, 1422</t>
  </si>
  <si>
    <t>1422</t>
  </si>
  <si>
    <t>GRAVATAÍ</t>
  </si>
  <si>
    <t>49.961.545/0026-01</t>
  </si>
  <si>
    <t>51 9693-4037</t>
  </si>
  <si>
    <t>Ops Comercio De Calcados Ltda</t>
  </si>
  <si>
    <t>loja319@lojaspaqueta.com.br</t>
  </si>
  <si>
    <t>gerente319@lojaspaqueta.com.br</t>
  </si>
  <si>
    <t>323-PAQUETÁ SÃO LEOPOLDO</t>
  </si>
  <si>
    <t>93010210</t>
  </si>
  <si>
    <t>RUA PRIMEIRO DE MARCO, 821 LJ225/226</t>
  </si>
  <si>
    <t>Mombaça</t>
  </si>
  <si>
    <t>821</t>
  </si>
  <si>
    <t>SÃO LEOPOLDO</t>
  </si>
  <si>
    <t>49.961.545/0020-16</t>
  </si>
  <si>
    <t>12421-705</t>
  </si>
  <si>
    <t>51 9688-1096</t>
  </si>
  <si>
    <t>(12) 97411-7551</t>
  </si>
  <si>
    <t>loja323@lojaspaqueta.com.br</t>
  </si>
  <si>
    <t>gerente323@lojaspaqueta.com.br</t>
  </si>
  <si>
    <t>326-PAQUETÁ CALÇADOS PRAIA DE BELAS</t>
  </si>
  <si>
    <t>90110001</t>
  </si>
  <si>
    <t>AV. PRAIA DE BELAS, 1181 LJS 1084/1085</t>
  </si>
  <si>
    <t>672.636.937.110</t>
  </si>
  <si>
    <t>1181</t>
  </si>
  <si>
    <t>PRAIA DE BELAS</t>
  </si>
  <si>
    <t>49.961.545/0029-54</t>
  </si>
  <si>
    <t>51 9683-3327</t>
  </si>
  <si>
    <t>loja326@lojaspaqueta.com.br</t>
  </si>
  <si>
    <t>gerente326@lojaspaqueta.com.br</t>
  </si>
  <si>
    <t>327-PAQUETÁ LINDÓIA SHOPPING</t>
  </si>
  <si>
    <t>91010003</t>
  </si>
  <si>
    <t>AV. ASSIS BRASIL, 3522 LJS 140/141-B</t>
  </si>
  <si>
    <t>3522</t>
  </si>
  <si>
    <t>JARDIM LINDOIA</t>
  </si>
  <si>
    <t>49.961.545/0012-06</t>
  </si>
  <si>
    <t>12400-470</t>
  </si>
  <si>
    <t>(12) 97411-2318</t>
  </si>
  <si>
    <t>loja327@lojaspaqueta.com.br</t>
  </si>
  <si>
    <t>gerente327@lojaspaqueta.com.br</t>
  </si>
  <si>
    <t>333 - Paquetá Esquina Democrática</t>
  </si>
  <si>
    <t>90020008</t>
  </si>
  <si>
    <t>RUA DOS ANDRADAS, 1370</t>
  </si>
  <si>
    <t>1370</t>
  </si>
  <si>
    <t>49.961.545/0047-36</t>
  </si>
  <si>
    <t>51 9664-5292</t>
  </si>
  <si>
    <t>loja333@lojaspaqueta.com.br</t>
  </si>
  <si>
    <t>gerente333@lojaspaqueta.com.br</t>
  </si>
  <si>
    <t>337 - Paquetá Canoas Shopp</t>
  </si>
  <si>
    <t>AV.GUILHERME SCHELL, 6750 153 A 155</t>
  </si>
  <si>
    <t>6750</t>
  </si>
  <si>
    <t>49.961.545/0034-11</t>
  </si>
  <si>
    <t>Rua Doutor Rodrigues De Azevedo</t>
  </si>
  <si>
    <t>loja337@lojaspaqueta.com.br</t>
  </si>
  <si>
    <t>gerente337@lojaspaqueta.com.br</t>
  </si>
  <si>
    <t>12600-005</t>
  </si>
  <si>
    <t>(12) 97411-7364</t>
  </si>
  <si>
    <t>338 - PAQUETÁ ESPORTES BOURBON IPIRANGA</t>
  </si>
  <si>
    <t>90610000</t>
  </si>
  <si>
    <t>AV. IPIRANGA, 5200 LJ.109 E 110</t>
  </si>
  <si>
    <t>5200</t>
  </si>
  <si>
    <t>JARDIM BOTANICO</t>
  </si>
  <si>
    <t>49.961.545/0002-34</t>
  </si>
  <si>
    <t>528.314.166.117</t>
  </si>
  <si>
    <t>51 9836-7840</t>
  </si>
  <si>
    <t>loja338@lojaspaqueta.com.br</t>
  </si>
  <si>
    <t>050 - Victor Hugo Cn</t>
  </si>
  <si>
    <t>gerente338@lojaspaqueta.com.br</t>
  </si>
  <si>
    <t>Bruno Cazarine Constantino Bolsas Ltda</t>
  </si>
  <si>
    <t>339 - Paquetá Shopp Novo Hamburgo</t>
  </si>
  <si>
    <t>AV. NACOES UNIDAS, 2001 LJ.1040</t>
  </si>
  <si>
    <t>2001</t>
  </si>
  <si>
    <t>NOVO HAMBURGO</t>
  </si>
  <si>
    <t>49.961.545/0022-88</t>
  </si>
  <si>
    <t>(12) 97411-9148</t>
  </si>
  <si>
    <t>loja339@lojaspaqueta.com.br</t>
  </si>
  <si>
    <t>gerente339@lojaspaqueta.com.br</t>
  </si>
  <si>
    <t>343 - Paquetá Esportes Shopp Iguatemi</t>
  </si>
  <si>
    <t>645.692.333.112</t>
  </si>
  <si>
    <t>AV. JOAO WALLIG, 1800 LJS 105/106</t>
  </si>
  <si>
    <t>1800</t>
  </si>
  <si>
    <t>CHACARA DAS PEDRAS</t>
  </si>
  <si>
    <t>49.961.545/0010-44</t>
  </si>
  <si>
    <t>51 9767-0389</t>
  </si>
  <si>
    <t>052 - Outlet Bauru</t>
  </si>
  <si>
    <t>loja343@lojaspaqueta.com.br</t>
  </si>
  <si>
    <t>Rc Constantino Artigos Esportivos Eireli - Epp</t>
  </si>
  <si>
    <t>Outlet Bauru Calcados Ltda</t>
  </si>
  <si>
    <t>gerente343@lojaspaqueta.com.br</t>
  </si>
  <si>
    <t>Ñ 051 - Adidas Campinas</t>
  </si>
  <si>
    <t>61.195.652/0001-13</t>
  </si>
  <si>
    <t>795.717.535.114</t>
  </si>
  <si>
    <t>345 - Paquetá Esportes Shopp Canoas</t>
  </si>
  <si>
    <t>Campinas</t>
  </si>
  <si>
    <t>Avenida Duque De Caxias</t>
  </si>
  <si>
    <t>AV.GUILHERME SCHELL, 6750 LJ A-27</t>
  </si>
  <si>
    <t>Jardim Santa Genebra</t>
  </si>
  <si>
    <t>Vila Cardia</t>
  </si>
  <si>
    <t>Avenida Guilherme Campos, 500  Shopping Center Parque D. Pedro</t>
  </si>
  <si>
    <t>49.961.545/0016-30</t>
  </si>
  <si>
    <t>17011-066</t>
  </si>
  <si>
    <t>loja345@lojaspaqueta.com.br</t>
  </si>
  <si>
    <t>gerente345@lojaspaqueta.com.br</t>
  </si>
  <si>
    <t>loja052@oscarcalcados.com.br</t>
  </si>
  <si>
    <t>346-PAQUETÁ JARAGUÁ DO SUL</t>
  </si>
  <si>
    <t>89251000</t>
  </si>
  <si>
    <t>AV. GETULIO VARGAS, 268 LJ 113 A 115</t>
  </si>
  <si>
    <t>268</t>
  </si>
  <si>
    <t>JARAGUA DO SUL</t>
  </si>
  <si>
    <t>49.961.545/0060-03</t>
  </si>
  <si>
    <t>loja346@lojaspaqueta.com.br</t>
  </si>
  <si>
    <t>gerente346@lojaspaqueta.com.br</t>
  </si>
  <si>
    <t>347-PAQUETÁ ESPORTES IGUATEMI CAXIAS</t>
  </si>
  <si>
    <t>95110900</t>
  </si>
  <si>
    <t>053 - Bauru Shopp</t>
  </si>
  <si>
    <t>ROD. RST 453, KM 3,5, 2780 LJ 176 A 180</t>
  </si>
  <si>
    <t>Rc Bauru Calcados Ltda</t>
  </si>
  <si>
    <t>2780</t>
  </si>
  <si>
    <t>CAXIAS DO SUL</t>
  </si>
  <si>
    <t>49.961.545/0028-73</t>
  </si>
  <si>
    <t>54 9709-6696</t>
  </si>
  <si>
    <t>Vila Cidade Universitaria</t>
  </si>
  <si>
    <t>loja347@lojaspaqueta.com.br</t>
  </si>
  <si>
    <t>gerente347@lojaspaqueta.com.br</t>
  </si>
  <si>
    <t>17011-900</t>
  </si>
  <si>
    <t>348 - Paquetá Esportes Parkshopping Canoas</t>
  </si>
  <si>
    <t>(17) 97400-0340</t>
  </si>
  <si>
    <t>Avenida Farroupilh, LOJA luc 3050/3051</t>
  </si>
  <si>
    <t>Marechal Rondon</t>
  </si>
  <si>
    <t>Canoas</t>
  </si>
  <si>
    <t>49.961.545/0025-20</t>
  </si>
  <si>
    <t>51 9007-1181</t>
  </si>
  <si>
    <t>loja348@lojaspaqueta.com.br</t>
  </si>
  <si>
    <t>gerente348@lojaspaqueta.com.br</t>
  </si>
  <si>
    <t>349-PAQUETÁ ESPORTES IGUATEMI FLORIPA</t>
  </si>
  <si>
    <t>88035000</t>
  </si>
  <si>
    <t>AV MADRE BENVENUTA, 687 ESP CML 23</t>
  </si>
  <si>
    <t>687</t>
  </si>
  <si>
    <t>SANTA MONICA</t>
  </si>
  <si>
    <t>FLORIANOPOLIS</t>
  </si>
  <si>
    <t>49.961.545/0059-70</t>
  </si>
  <si>
    <t>48 8836-6413</t>
  </si>
  <si>
    <t>loja349@lojaspaqueta.com.br</t>
  </si>
  <si>
    <t>gerente349@lojaspaqueta.com.br</t>
  </si>
  <si>
    <t>351-PAQUETÁ BLUMENAU NEUMARKT</t>
  </si>
  <si>
    <t>89010203</t>
  </si>
  <si>
    <t>RUA 7 DE SETEMBRO, 1213 146 A 148</t>
  </si>
  <si>
    <t>1213</t>
  </si>
  <si>
    <t>BLUMENAU</t>
  </si>
  <si>
    <t>054 - Ribeirão Centro</t>
  </si>
  <si>
    <t>49.961.545/0061-94</t>
  </si>
  <si>
    <t>47 9212-3308</t>
  </si>
  <si>
    <t>loja351@lojaspaqueta.com.br</t>
  </si>
  <si>
    <t>gerente351@lojaspaqueta.com.br</t>
  </si>
  <si>
    <t>352 - Paquetá Barra Shopp Sul</t>
  </si>
  <si>
    <t>50.915.875/0037-00</t>
  </si>
  <si>
    <t>AV DIARIO DE NOTICIAS, 300 LUC 2106 2107</t>
  </si>
  <si>
    <t>300</t>
  </si>
  <si>
    <t>CRISTAL</t>
  </si>
  <si>
    <t>49.961.545/0017-10</t>
  </si>
  <si>
    <t>Lucon Ferraz Calcados Ltda</t>
  </si>
  <si>
    <t>loja352@lojaspaqueta.com.br</t>
  </si>
  <si>
    <t>055 - Usaflex Mogi Shopp</t>
  </si>
  <si>
    <t>gerente352@lojaspaqueta.com.br</t>
  </si>
  <si>
    <t>353 - Paquetá Esportes Barra Shopp Sul</t>
  </si>
  <si>
    <t>AV DIARIO DE NOTICIAS, 300 LUC 2104</t>
  </si>
  <si>
    <t>49.961.545/0008-20</t>
  </si>
  <si>
    <t>loja353@lojaspaqueta.com.br</t>
  </si>
  <si>
    <t>gerente353@lojaspaqueta.com.br</t>
  </si>
  <si>
    <t>14010-080</t>
  </si>
  <si>
    <t>355-PAQUETA ESPORTES PASSO FUNDO</t>
  </si>
  <si>
    <t>99010050</t>
  </si>
  <si>
    <t>RUA CORONEL CHICUTA, 355 SALA 222</t>
  </si>
  <si>
    <t>(16) 97400-2273</t>
  </si>
  <si>
    <t>355</t>
  </si>
  <si>
    <t>PASSO FUNDO</t>
  </si>
  <si>
    <t>49.961.545/0063-56</t>
  </si>
  <si>
    <t>54 9672-8190</t>
  </si>
  <si>
    <t>Apc Fernandes Calcados Ltda</t>
  </si>
  <si>
    <t>056 - Usaflex Guarulhos Shopp</t>
  </si>
  <si>
    <t>loja355@lojaspaqueta.com.br</t>
  </si>
  <si>
    <t>gerente355@lojaspaqueta.com.br</t>
  </si>
  <si>
    <t>356 - Paquetá Andradas</t>
  </si>
  <si>
    <t>RUA DOS ANDRADAS, 1320 LOJA</t>
  </si>
  <si>
    <t>1320</t>
  </si>
  <si>
    <t>CENTRO HISTORICO</t>
  </si>
  <si>
    <t>Rua Engenheiro Camilo Olivetti</t>
  </si>
  <si>
    <t>49.961.545/0031-79</t>
  </si>
  <si>
    <t>loja356@lojaspaqueta.com.br</t>
  </si>
  <si>
    <t>gerente356@lojaspaqueta.com.br</t>
  </si>
  <si>
    <t>Uss Comercio De Calcados Ltda</t>
  </si>
  <si>
    <t>057 - Usaflex Suzano Shopp</t>
  </si>
  <si>
    <t>359-PAQUETA GARTEN SHOPPING JOINVILLE</t>
  </si>
  <si>
    <t>89223005</t>
  </si>
  <si>
    <t>AV ROLF WIEST, 333 MEGALOJA 4 L105</t>
  </si>
  <si>
    <t>333</t>
  </si>
  <si>
    <t>BOM RETIRO</t>
  </si>
  <si>
    <t>JOINVILLE</t>
  </si>
  <si>
    <t>49.961.545/0062-75</t>
  </si>
  <si>
    <t>loja359@lojaspaqueta.com.br</t>
  </si>
  <si>
    <t>gerente359@lojaspaqueta.com.br</t>
  </si>
  <si>
    <t>362-PAQUETA ESPORTES SANTA MARIA</t>
  </si>
  <si>
    <t>97050030</t>
  </si>
  <si>
    <t>AV NOSSA SENHORA DAS DORES, 305 LJ 134 A 138</t>
  </si>
  <si>
    <t>305</t>
  </si>
  <si>
    <t>BAIRRO DAS DORES</t>
  </si>
  <si>
    <t>SANTA MARIA</t>
  </si>
  <si>
    <t>(11) 97600-4756</t>
  </si>
  <si>
    <t>49.961.545/0009-00</t>
  </si>
  <si>
    <t>Ust Comercio De Calcados Ltda</t>
  </si>
  <si>
    <t>059 - Usaflex Tatuapé Shopp</t>
  </si>
  <si>
    <t>55 9649-8585</t>
  </si>
  <si>
    <t>loja362@lojaspaqueta.com.br</t>
  </si>
  <si>
    <t>Cidade Mãe Do Céu</t>
  </si>
  <si>
    <t>gerente362@lojaspaqueta.com.br</t>
  </si>
  <si>
    <t>363-PAQUETA NORTE SHOPPING BLUMENAU</t>
  </si>
  <si>
    <t>89070200</t>
  </si>
  <si>
    <t>RODOVIA BR 470 KM 54, S/N SALA COML L-86</t>
  </si>
  <si>
    <t>S/N</t>
  </si>
  <si>
    <t>SALTO NORTE</t>
  </si>
  <si>
    <t>Acs Comercio De Calcados Eireli</t>
  </si>
  <si>
    <t>49.961.545/0064-37</t>
  </si>
  <si>
    <t>060 - Anacapri Suzano Shopp</t>
  </si>
  <si>
    <t>loja363@lojaspaqueta.com.br</t>
  </si>
  <si>
    <t>gerente363@lojaspaqueta.com.br</t>
  </si>
  <si>
    <t>364 - Paquetá Cassol Center Lar</t>
  </si>
  <si>
    <t>AV.SERTORIO, 8000 LOJAS 236/237</t>
  </si>
  <si>
    <t>8000</t>
  </si>
  <si>
    <t>SARANDI</t>
  </si>
  <si>
    <t>49.961.545/0035-00</t>
  </si>
  <si>
    <t>51 9897-9939</t>
  </si>
  <si>
    <t>(12) 99199-1202</t>
  </si>
  <si>
    <t>loja364@lojaspaqueta.com.br</t>
  </si>
  <si>
    <t>gerente364@lojaspaqueta.com.br</t>
  </si>
  <si>
    <t>160.077.464.118</t>
  </si>
  <si>
    <t>367-PAQUETA ESPORTES WALLIG</t>
  </si>
  <si>
    <t>91010002</t>
  </si>
  <si>
    <t>AV ASSIS BRASIL, 2611 LJS 201/202/203</t>
  </si>
  <si>
    <t>2611</t>
  </si>
  <si>
    <t>CRISTO REDENTOR</t>
  </si>
  <si>
    <t>Rua Barao De Jundiai</t>
  </si>
  <si>
    <t>49.961.545/0056-27</t>
  </si>
  <si>
    <t>loja367@lojaspaqueta.com.br</t>
  </si>
  <si>
    <t>gerente378@lojaspaqueta.com.br</t>
  </si>
  <si>
    <t>378-PAQUETA SHOPPING PELOTAS</t>
  </si>
  <si>
    <t>96085000</t>
  </si>
  <si>
    <t>AV FERREIRA VIANA, 1526 LOJA 60 PISO 1</t>
  </si>
  <si>
    <t>1526</t>
  </si>
  <si>
    <t>AREAL</t>
  </si>
  <si>
    <t>PELOTAS</t>
  </si>
  <si>
    <t>49.961.545/0005-87</t>
  </si>
  <si>
    <t>Rua Governador Pedro De Toledo</t>
  </si>
  <si>
    <t>loja378@lojaspaqueta.com.br</t>
  </si>
  <si>
    <t>(11) 94028-4993</t>
  </si>
  <si>
    <t>382 - Paquetá Shopp Gravataí</t>
  </si>
  <si>
    <t>94035240</t>
  </si>
  <si>
    <t>AVENIDA CENTENÁRIO, 555 LOJAS 124 E 125</t>
  </si>
  <si>
    <t>PASSOS DAS PEDRAS</t>
  </si>
  <si>
    <t>49.961.545/0019-82</t>
  </si>
  <si>
    <t>loja382@lojaspaqueta.com.br</t>
  </si>
  <si>
    <t>gerente382@lojaspaqueta.com.br</t>
  </si>
  <si>
    <t>391-PAQUETA CAMBORIU</t>
  </si>
  <si>
    <t>88339005</t>
  </si>
  <si>
    <t>50.915.875/0061-22</t>
  </si>
  <si>
    <t>AV SANTA CATARINA, 1 LOJA 277</t>
  </si>
  <si>
    <t>1</t>
  </si>
  <si>
    <t>DOS ESTADOS</t>
  </si>
  <si>
    <t>BALNEARIO CAMBORIU</t>
  </si>
  <si>
    <t>49.961.545/0065-18</t>
  </si>
  <si>
    <t>181.727.139.110</t>
  </si>
  <si>
    <t>47 9147-8914</t>
  </si>
  <si>
    <t>loja391@lojaspaqueta.com.br</t>
  </si>
  <si>
    <t>14026-900</t>
  </si>
  <si>
    <t>gerente391@lojaspaqueta.com.br</t>
  </si>
  <si>
    <t>Rua 9 De Julho</t>
  </si>
  <si>
    <t>(16) 97401-3273</t>
  </si>
  <si>
    <t>404 - Gaston Andradas</t>
  </si>
  <si>
    <t>RUA DOS ANDRADAS, 1342</t>
  </si>
  <si>
    <t>1342</t>
  </si>
  <si>
    <t>49.961.545/0043-02</t>
  </si>
  <si>
    <t>Gaston</t>
  </si>
  <si>
    <t>51 9881-6238</t>
  </si>
  <si>
    <t>Jo Calcados Ltda</t>
  </si>
  <si>
    <t>loja404@gaston.com.br</t>
  </si>
  <si>
    <t>gerente404@gaston.com.br</t>
  </si>
  <si>
    <t>456.253.380.114</t>
  </si>
  <si>
    <t>411-GASTON RIO GRANDE</t>
  </si>
  <si>
    <t>96200020</t>
  </si>
  <si>
    <t>RUA DUQUE DE CAXIAS, 101</t>
  </si>
  <si>
    <t>101</t>
  </si>
  <si>
    <t>Rua Quinze De Novembro</t>
  </si>
  <si>
    <t>RIO GRANDE</t>
  </si>
  <si>
    <t>49.961.545/0040-60</t>
  </si>
  <si>
    <t>51 9880-9032</t>
  </si>
  <si>
    <t>loja411@gaston.com.br</t>
  </si>
  <si>
    <t>gerente411@gaston.com.br</t>
  </si>
  <si>
    <t>413-GASTON OTÁVIO ROCHA</t>
  </si>
  <si>
    <t>90020151</t>
  </si>
  <si>
    <t>AV. OTAVIO ROCHA, 143</t>
  </si>
  <si>
    <t>143</t>
  </si>
  <si>
    <t>49.961.545/0053-84</t>
  </si>
  <si>
    <t>51 9870-2996</t>
  </si>
  <si>
    <t>Rua Apolinario</t>
  </si>
  <si>
    <t>loja413@gaston.com.br</t>
  </si>
  <si>
    <t>03306-900</t>
  </si>
  <si>
    <t>gerente413@gaston.com.br</t>
  </si>
  <si>
    <t>414-GASTON CACHOEIRINHA - F.CUNHA, 1077</t>
  </si>
  <si>
    <t>94910001</t>
  </si>
  <si>
    <t>AV. GEN. FLORES DA CUNHA, 1077</t>
  </si>
  <si>
    <t>1077</t>
  </si>
  <si>
    <t>49.961.545/0041-40</t>
  </si>
  <si>
    <t>51 9869-6887</t>
  </si>
  <si>
    <t>loja414@gaston.com.br</t>
  </si>
  <si>
    <t>gerente414@gaston.com.br</t>
  </si>
  <si>
    <t>415-GASTON AZENHA</t>
  </si>
  <si>
    <t>90160002</t>
  </si>
  <si>
    <t>AV. DA AZENHA, 855</t>
  </si>
  <si>
    <t>855</t>
  </si>
  <si>
    <t>AZENHA</t>
  </si>
  <si>
    <t>49.961.545/0007-49</t>
  </si>
  <si>
    <t>068 - Bauru Ct</t>
  </si>
  <si>
    <t>51 9853-6202</t>
  </si>
  <si>
    <t>160.078.099.114</t>
  </si>
  <si>
    <t>loja415@gaston.com.br</t>
  </si>
  <si>
    <t>gerente415@gaston.com.br</t>
  </si>
  <si>
    <t>Rua Batista De Carvalho</t>
  </si>
  <si>
    <t>417-GASTON GRAVATAÍ - CENTRO</t>
  </si>
  <si>
    <t>RUA DR.JOSE LOUREIRO DA SILVA, 1378</t>
  </si>
  <si>
    <t>49.961.545/0030-98</t>
  </si>
  <si>
    <t>loja417@gaston.com.br</t>
  </si>
  <si>
    <t>gerente417@gaston.com.br</t>
  </si>
  <si>
    <t>419 - Gaston Shopp Iguatemi</t>
  </si>
  <si>
    <t>AV. JOAO WALLIG, 1800 SL131/132</t>
  </si>
  <si>
    <t>50.915.875/0035-30</t>
  </si>
  <si>
    <t>069 - Piracicaba</t>
  </si>
  <si>
    <t>120.770.985.113</t>
  </si>
  <si>
    <t>49.961.545/0027-92</t>
  </si>
  <si>
    <t>13201-011</t>
  </si>
  <si>
    <t>loja069@oscarcalcados.com.br</t>
  </si>
  <si>
    <t>loja419@gaston.com.br</t>
  </si>
  <si>
    <t>gerente419@gaston.com.br</t>
  </si>
  <si>
    <t>Accv Calcados Ltda</t>
  </si>
  <si>
    <t>(11) 94776-9077</t>
  </si>
  <si>
    <t>070 - Anacapri Centervale</t>
  </si>
  <si>
    <t>125.495.973.119</t>
  </si>
  <si>
    <t>421 - Gaston Canoas Shopp</t>
  </si>
  <si>
    <t>AV. GUILHERME SCHELL, 6750 LJS 107 A 111</t>
  </si>
  <si>
    <t>49.961.545/0057-08</t>
  </si>
  <si>
    <t>loja421@gaston.com.br</t>
  </si>
  <si>
    <t>gerente421@gaston.com.br</t>
  </si>
  <si>
    <t>Acvs Calcados Ltda</t>
  </si>
  <si>
    <t>422-GASTON BOURBON ASSIS BRASIL</t>
  </si>
  <si>
    <t>AV. ASSIS BRASIL, 164 LJS 25 E 26</t>
  </si>
  <si>
    <t>071 - Anacapri Valesul</t>
  </si>
  <si>
    <t>50.915.875/0046-93</t>
  </si>
  <si>
    <t>PASSO D'AREIA</t>
  </si>
  <si>
    <t>125.500.230.112</t>
  </si>
  <si>
    <t>49.961.545/0014-78</t>
  </si>
  <si>
    <t>loja422@gaston.com.br</t>
  </si>
  <si>
    <t>gerente422@gaston.com.br</t>
  </si>
  <si>
    <t>13400-070</t>
  </si>
  <si>
    <t>423 - Gaston Assis Brasil</t>
  </si>
  <si>
    <t>(19) 97401-4761</t>
  </si>
  <si>
    <t>AV. ASSIS BRASIL, 2312</t>
  </si>
  <si>
    <t>2312</t>
  </si>
  <si>
    <t>072 - Novo Shopp Ribeirão</t>
  </si>
  <si>
    <t>49.961.545/0024-40</t>
  </si>
  <si>
    <t>51 9951-5101</t>
  </si>
  <si>
    <t>loja423@gaston.com.br</t>
  </si>
  <si>
    <t>gerente423@gaston.com.br</t>
  </si>
  <si>
    <t>Avenida Presidente Kennedy</t>
  </si>
  <si>
    <t>424-GASTON ALVORADA</t>
  </si>
  <si>
    <t>AV. PRES. GETULIO VARGAS, 2030</t>
  </si>
  <si>
    <t>BELA VISTA</t>
  </si>
  <si>
    <t>ALVORADA</t>
  </si>
  <si>
    <t>50.915.875/0036-11</t>
  </si>
  <si>
    <t>49.961.545/0058-99</t>
  </si>
  <si>
    <t>073 - Anacapri Oriente Shopp</t>
  </si>
  <si>
    <t>loja424@gaston.com.br</t>
  </si>
  <si>
    <t>gerente424@gaston.com.br</t>
  </si>
  <si>
    <t>426 - Gaston Cavalhada</t>
  </si>
  <si>
    <t>18010-120</t>
  </si>
  <si>
    <t>91910001</t>
  </si>
  <si>
    <t>AV. OTTO NIEMEYER, 2783</t>
  </si>
  <si>
    <t>2783</t>
  </si>
  <si>
    <t>CAVALHADA</t>
  </si>
  <si>
    <t>(15) 99153-6793</t>
  </si>
  <si>
    <t>49.961.545/0042-21</t>
  </si>
  <si>
    <t>074 - Piracicaba Shopping</t>
  </si>
  <si>
    <t>160.078.577.115</t>
  </si>
  <si>
    <t>loja426@gaston.com.br</t>
  </si>
  <si>
    <t>gerente426@gaston.com.br</t>
  </si>
  <si>
    <t>13414-900</t>
  </si>
  <si>
    <t>Areao</t>
  </si>
  <si>
    <t>427-GASTON CARREFOUR PARTENON</t>
  </si>
  <si>
    <t>Avenida Limeira</t>
  </si>
  <si>
    <t>RUA ALBION, 111 BOX6 PAV TERREO</t>
  </si>
  <si>
    <t>PARTENON</t>
  </si>
  <si>
    <t>49.961.545/0004-04</t>
  </si>
  <si>
    <t>50.915.875/0048-55</t>
  </si>
  <si>
    <t>loja427@gaston.com.br</t>
  </si>
  <si>
    <t>gerente427@gaston.com.br</t>
  </si>
  <si>
    <t>075 - Cruzeiro</t>
  </si>
  <si>
    <t>428-GASTON CARREFOUR UBIRICI</t>
  </si>
  <si>
    <t>12730-010</t>
  </si>
  <si>
    <t>AV PLINIO B. MILANO, 2343 LJ 8,9,10</t>
  </si>
  <si>
    <t>49.961.545/0046-55</t>
  </si>
  <si>
    <t>Rua Doutor Othon Barcelos, 5</t>
  </si>
  <si>
    <t>14801-295</t>
  </si>
  <si>
    <t>loja428@gaston.com.br</t>
  </si>
  <si>
    <t>gerente428@gaston.com.br</t>
  </si>
  <si>
    <t>(16) 97400-1925</t>
  </si>
  <si>
    <t>430-GASTON SHOPPING TOTAL</t>
  </si>
  <si>
    <t>AV. CRISTOVAO COLOMBO, 545 LJ 1050</t>
  </si>
  <si>
    <t>FLORESTA</t>
  </si>
  <si>
    <t>49.961.545/0051-12</t>
  </si>
  <si>
    <t>loja430@gaston.com.br</t>
  </si>
  <si>
    <t>gerente430@gaston.com.br</t>
  </si>
  <si>
    <t>076 - Outlet Oscar Motorama</t>
  </si>
  <si>
    <t>431-GASTON CALÇADÃO CANOAS</t>
  </si>
  <si>
    <t>RUA TIRADENTES, 282</t>
  </si>
  <si>
    <t>49.961.545/0048-17</t>
  </si>
  <si>
    <t>Rua Dos Lírios</t>
  </si>
  <si>
    <t>loja431@gaston.com.br</t>
  </si>
  <si>
    <t>gerente431@gaston.com.br</t>
  </si>
  <si>
    <t>432-GASTON CACHOEIRINHA - F.CUNHA, 4001</t>
  </si>
  <si>
    <t>AV. GEN. FLORES DA CUNHA, 4001 LJS 228 A 231</t>
  </si>
  <si>
    <t>BOM PRINCIPIO</t>
  </si>
  <si>
    <t>13800-185</t>
  </si>
  <si>
    <t>077 - Jundiai Maxi Shopp</t>
  </si>
  <si>
    <t>49.961.545/0038-45</t>
  </si>
  <si>
    <t>160.078.433.117</t>
  </si>
  <si>
    <t>(12) 97411-6633</t>
  </si>
  <si>
    <t>loja432@lojaspaqueta.com.br</t>
  </si>
  <si>
    <t>gerente432@gaston.com.br</t>
  </si>
  <si>
    <t>434-GASTON SAPUCAIA DO SUL</t>
  </si>
  <si>
    <t>AV.SAPUCAIA, 2022</t>
  </si>
  <si>
    <t>SAPUCAIA DO SUL</t>
  </si>
  <si>
    <t>49.961.545/0015-59</t>
  </si>
  <si>
    <t>51 9597-7721</t>
  </si>
  <si>
    <t>078 - Bauru Boulevard Shopp</t>
  </si>
  <si>
    <t>loja434@gaston.com.br</t>
  </si>
  <si>
    <t>gerente434@gaston.com.br</t>
  </si>
  <si>
    <t>436-GASTON VIAMAO</t>
  </si>
  <si>
    <t>Chacara Das Flores</t>
  </si>
  <si>
    <t>50.915.875/0040-06</t>
  </si>
  <si>
    <t>AV. CORONEL MARCOS DE ANDRADE, 18</t>
  </si>
  <si>
    <t>VIAMÃO</t>
  </si>
  <si>
    <t>49.961.545/0032-50</t>
  </si>
  <si>
    <t>519587-3490</t>
  </si>
  <si>
    <t>loja436@gaston.com.br</t>
  </si>
  <si>
    <t>gerente436@gaston.com.br</t>
  </si>
  <si>
    <t>13840-035</t>
  </si>
  <si>
    <t>079 - Outlet Pres. Prudente</t>
  </si>
  <si>
    <t>439-GASTON CARREFOUR SERTORIO</t>
  </si>
  <si>
    <t>AVENIDA SERTORIO, 6767 BOX 4,5,6,7</t>
  </si>
  <si>
    <t>Presidente Prudente</t>
  </si>
  <si>
    <t>49.961.545/0011-25</t>
  </si>
  <si>
    <t>Rua Tenente Nicolau Maffei</t>
  </si>
  <si>
    <t>(12) 97813-0006</t>
  </si>
  <si>
    <t>loja439@gaston.com.br</t>
  </si>
  <si>
    <t>gerente439@gaston.com.br</t>
  </si>
  <si>
    <t>loja079@oscarcalcados.com.br</t>
  </si>
  <si>
    <t>440 - Gaston Barra Shopp Sul</t>
  </si>
  <si>
    <t>Cd- Ponta Sz</t>
  </si>
  <si>
    <t>AV DIARIO DE NOTICIAS, 300 LJS 1033/1034</t>
  </si>
  <si>
    <t>090 - Cd- Ponta Sz</t>
  </si>
  <si>
    <t>49.961.545/0013-97</t>
  </si>
  <si>
    <t>Rua Professor Flaviano De Melo</t>
  </si>
  <si>
    <t>loja440@gaston.com.br</t>
  </si>
  <si>
    <t>gerente440@gaston.com.br</t>
  </si>
  <si>
    <t>441-GASTON WALLIG</t>
  </si>
  <si>
    <t>092 - Indenização</t>
  </si>
  <si>
    <t>AV ASSIS BRASIL, 2611 LJ 237/238</t>
  </si>
  <si>
    <t>49.961.545/0044-93</t>
  </si>
  <si>
    <t>Grupo Defeito</t>
  </si>
  <si>
    <t>12235-050</t>
  </si>
  <si>
    <t>loja441@gaston.com.br</t>
  </si>
  <si>
    <t>gerente441@gaston.com.br</t>
  </si>
  <si>
    <t>(12) 97410-0256</t>
  </si>
  <si>
    <t>444-GASTON SHOPP PELOTAS</t>
  </si>
  <si>
    <t>AV FERREIRA VIANA, 1526 LOJAS 119 A 122</t>
  </si>
  <si>
    <t>Ñ 093 - Recicalce</t>
  </si>
  <si>
    <t>49.961.545/0050-31</t>
  </si>
  <si>
    <t>loja444@gaston.com.br</t>
  </si>
  <si>
    <t>gerente444@gaston.com.br</t>
  </si>
  <si>
    <t>Descarte</t>
  </si>
  <si>
    <t>094 - Descarte</t>
  </si>
  <si>
    <t>445 - Gaston Shopp Gravataí</t>
  </si>
  <si>
    <t>AVENIDA CENTENÁRIO, 555 LOJAS 108 A 110</t>
  </si>
  <si>
    <t>50.915.875/0045-02</t>
  </si>
  <si>
    <t>Xxxxxxxxxxxxx</t>
  </si>
  <si>
    <t>49.961.545/0045-74</t>
  </si>
  <si>
    <t>Xxxxxxxxxxxxxxxxx</t>
  </si>
  <si>
    <t>Defeito Fornecedor Scarlen Mogi</t>
  </si>
  <si>
    <t>Ñ 095 - Defeito Fornecedor Scarlen Mogi</t>
  </si>
  <si>
    <t>loja445@gaston.com.br</t>
  </si>
  <si>
    <t>17010-001</t>
  </si>
  <si>
    <t>gerente445@gaston.com.br</t>
  </si>
  <si>
    <t>(12) 97406-0288</t>
  </si>
  <si>
    <t>446-GASTON RIO GRANDE PRAÇA SHOPPING</t>
  </si>
  <si>
    <t>Xxxxxxxxx</t>
  </si>
  <si>
    <t>RUA JOCKEY CLUBE, 135 LOJA 96</t>
  </si>
  <si>
    <t>Xxxxxxxxxxxxxx</t>
  </si>
  <si>
    <t>VILA SÃO MIGUEL</t>
  </si>
  <si>
    <t>49.961.545/0052-01</t>
  </si>
  <si>
    <t>E.L Dos Santos Contabilidade Me</t>
  </si>
  <si>
    <t>E.L Contabilidade</t>
  </si>
  <si>
    <t>loja446@gaston.com.br</t>
  </si>
  <si>
    <t>gerente446@gaston.com.br</t>
  </si>
  <si>
    <t>447-GASTON PARKSHOPPING CANOAS</t>
  </si>
  <si>
    <t>AV FARROPILHA, 4545 LUC 2037/2038</t>
  </si>
  <si>
    <t>49.961.545/0039-26</t>
  </si>
  <si>
    <t>48.973.705/0028-31</t>
  </si>
  <si>
    <t>loja447@gaston.com.br</t>
  </si>
  <si>
    <t>gerente447@gaston.com.br</t>
  </si>
  <si>
    <t>Ldj New Servicos De Malote Ltda Epp</t>
  </si>
  <si>
    <t>Ñ 097 - Ldj</t>
  </si>
  <si>
    <t>449-GASTON SANTA MARIA</t>
  </si>
  <si>
    <t>BR 287, 2885 1183 A 1187</t>
  </si>
  <si>
    <t>PATRONATO</t>
  </si>
  <si>
    <t>49.961.545/0003-15</t>
  </si>
  <si>
    <t>Rua Doutor Ivan De Souza Lopes</t>
  </si>
  <si>
    <t>13400-060</t>
  </si>
  <si>
    <t>loja449@gaston.com.br</t>
  </si>
  <si>
    <t>gerente449@gaston.com.br</t>
  </si>
  <si>
    <t>450 - GASTON SHOPP VILLAGIO CAXIAS</t>
  </si>
  <si>
    <t>Dpct Transporte De Mercadoria Ltda</t>
  </si>
  <si>
    <t>Ñ 098 - Dpct</t>
  </si>
  <si>
    <t xml:space="preserve"> Rodovia RSC-453</t>
  </si>
  <si>
    <t>DESVIO RIZO</t>
  </si>
  <si>
    <t>49.961.545/0066-07</t>
  </si>
  <si>
    <t>54 992839850</t>
  </si>
  <si>
    <t>loja450@gaston.com.br</t>
  </si>
  <si>
    <t>gerente450@gaston.com.br</t>
  </si>
  <si>
    <t>100 - Cd Jô</t>
  </si>
  <si>
    <t>Ñ 100 - Cd Jô</t>
  </si>
  <si>
    <t>Abys Shopping Tacaruna PE</t>
  </si>
  <si>
    <t>52171-011</t>
  </si>
  <si>
    <t>AV. GOV. AGAMENON MAGALHÃES</t>
  </si>
  <si>
    <t>SANTO AMARO</t>
  </si>
  <si>
    <t>RECIFE</t>
  </si>
  <si>
    <t>PE</t>
  </si>
  <si>
    <t>37.765.702/0003-38</t>
  </si>
  <si>
    <t>Rua Sebastiao Humel</t>
  </si>
  <si>
    <t>Abys</t>
  </si>
  <si>
    <t>Grupo Jô Calçados</t>
  </si>
  <si>
    <t>(81) 9 9505.3109 / (82) 9 9197.7294</t>
  </si>
  <si>
    <t>Abys Shopping Guararapes</t>
  </si>
  <si>
    <t>54.410-902</t>
  </si>
  <si>
    <t>100 - Logística Ecommerce</t>
  </si>
  <si>
    <t>AV BARRETO DE MENEZES, loja 199</t>
  </si>
  <si>
    <t>PIEDADE</t>
  </si>
  <si>
    <t>JABOTÃO DOS GUARARAPES</t>
  </si>
  <si>
    <t>(12) 99228-6119</t>
  </si>
  <si>
    <t>37.765.702/0001-76</t>
  </si>
  <si>
    <t xml:space="preserve">(81) 9 9249.7903 / (81) 9 9870.1623 </t>
  </si>
  <si>
    <t>Abys Shopping Caruaru</t>
  </si>
  <si>
    <t>55.024-740</t>
  </si>
  <si>
    <t>AV ADJAR DA SILVA CASE, loja 197,198</t>
  </si>
  <si>
    <t>101 - Botucatu</t>
  </si>
  <si>
    <t>INDIANAPOLIS</t>
  </si>
  <si>
    <t>CARUARU</t>
  </si>
  <si>
    <t>37.765.702/0002-57</t>
  </si>
  <si>
    <t>(81) 9 8600.4251 / (81) 9 8112.2590</t>
  </si>
  <si>
    <t>Praca Comendador Emilio Pedutti</t>
  </si>
  <si>
    <t>Abys Centro Caruaru</t>
  </si>
  <si>
    <t>55.004-160</t>
  </si>
  <si>
    <t>RUA QUINZE DE NOVEMBRO</t>
  </si>
  <si>
    <t>NOSSA SENHORA DAS DORES</t>
  </si>
  <si>
    <t>37.765.702/0004-19</t>
  </si>
  <si>
    <t>(81) 9 9435.6446</t>
  </si>
  <si>
    <t>002997738.04-06</t>
  </si>
  <si>
    <t>Abys Prazeres</t>
  </si>
  <si>
    <t>54310-310</t>
  </si>
  <si>
    <t>AV BARRETO DE MENEZES</t>
  </si>
  <si>
    <t>(12) 97411-3506</t>
  </si>
  <si>
    <t>PRAZERES</t>
  </si>
  <si>
    <t>37.765.702/0005-08</t>
  </si>
  <si>
    <t>(81) 9 8474.6404 / (81) 9 8699.7212</t>
  </si>
  <si>
    <t>Rua Vinte E Dois</t>
  </si>
  <si>
    <t>Democrata Shopp Recife</t>
  </si>
  <si>
    <t>51020-280</t>
  </si>
  <si>
    <t>Rua Padre Carapuceiro, loja 36 piso 1</t>
  </si>
  <si>
    <t>Boa Viagem</t>
  </si>
  <si>
    <t>Recife</t>
  </si>
  <si>
    <t>41.374.683/0001-24</t>
  </si>
  <si>
    <t>Jô Calçados Ltda</t>
  </si>
  <si>
    <t>Democrata</t>
  </si>
  <si>
    <t>Ñ 103 - Jô Marília</t>
  </si>
  <si>
    <t>(81)991175421</t>
  </si>
  <si>
    <t>Marilia</t>
  </si>
  <si>
    <t xml:space="preserve">Democrata 02 </t>
  </si>
  <si>
    <t>Rua Sao Luiz - De 602/603 A 900/901</t>
  </si>
  <si>
    <t>50100-010</t>
  </si>
  <si>
    <t>AV GOV AGAMENON MAGALHAES, loja 102,103</t>
  </si>
  <si>
    <t>39.625.563/0002-91</t>
  </si>
  <si>
    <t>(81) 3412-6000</t>
  </si>
  <si>
    <t>N 104 - Jô Araçatuba</t>
  </si>
  <si>
    <t>50.915.875/0053-12</t>
  </si>
  <si>
    <t>Democrata 04</t>
  </si>
  <si>
    <t>51.110-160</t>
  </si>
  <si>
    <t>AV REPUBLICA DO LIBANO, loja 129</t>
  </si>
  <si>
    <t>PINA</t>
  </si>
  <si>
    <t>39.625.563/0001-00</t>
  </si>
  <si>
    <t>(81) 3878-0040</t>
  </si>
  <si>
    <t>(81)989443092</t>
  </si>
  <si>
    <t>14096-350</t>
  </si>
  <si>
    <t>Rua Marechal Deodoro - Ate 230/231</t>
  </si>
  <si>
    <t>(16) 99335-5751</t>
  </si>
  <si>
    <t xml:space="preserve">81-38780179 ou 0171 </t>
  </si>
  <si>
    <t>106 - Rio Preto Cl1</t>
  </si>
  <si>
    <t>(12) 99229-7356</t>
  </si>
  <si>
    <t>108 - Votuporanga</t>
  </si>
  <si>
    <t>718.322.901.113</t>
  </si>
  <si>
    <t>Patrimonio Novo</t>
  </si>
  <si>
    <t>109 - Araraquara Mega</t>
  </si>
  <si>
    <t>50.915.875/0057-46</t>
  </si>
  <si>
    <t>Jô Calçados E Bolsas Ltda</t>
  </si>
  <si>
    <t>Ñ 110 - Jô Araraquara</t>
  </si>
  <si>
    <t>111 - Franca</t>
  </si>
  <si>
    <t>(19) 99391-7528</t>
  </si>
  <si>
    <t>Tome &amp; Tome Comercio De Calcados Ltda</t>
  </si>
  <si>
    <t>Ñ 112 - Jô Joinville</t>
  </si>
  <si>
    <t>Avenida Juscelino Kubitschek</t>
  </si>
  <si>
    <t>29.977.380.325</t>
  </si>
  <si>
    <t>Avenida Floriano Peixoto</t>
  </si>
  <si>
    <t>(12) 99218-1689</t>
  </si>
  <si>
    <t>115 - Ourinhos</t>
  </si>
  <si>
    <t>Rua Antonio Carlos Mori</t>
  </si>
  <si>
    <t>116 - São Carlos</t>
  </si>
  <si>
    <t>12224-010</t>
  </si>
  <si>
    <t>Rua General Osório</t>
  </si>
  <si>
    <t>(12) 99205-6082</t>
  </si>
  <si>
    <t>117 - Bauru</t>
  </si>
  <si>
    <t>50.915.875/0055-84</t>
  </si>
  <si>
    <t>13215-900</t>
  </si>
  <si>
    <t>118 - Catanduva</t>
  </si>
  <si>
    <t>(11) 94789-8933</t>
  </si>
  <si>
    <t>Praca Monsenhor Albino</t>
  </si>
  <si>
    <t>119 - Barretos</t>
  </si>
  <si>
    <t>50.915.875/0056-65</t>
  </si>
  <si>
    <t>17013-113</t>
  </si>
  <si>
    <t>120 - Presidente Prudente</t>
  </si>
  <si>
    <t>(14) 99182-3834</t>
  </si>
  <si>
    <t>Bvb Calcados Ltda</t>
  </si>
  <si>
    <t>121 - Caçapava</t>
  </si>
  <si>
    <t>61.195.652/0002-02</t>
  </si>
  <si>
    <t>19010-010</t>
  </si>
  <si>
    <t>43.144.476/0001-09</t>
  </si>
  <si>
    <t>12.878.125</t>
  </si>
  <si>
    <t>Campos Eliseos</t>
  </si>
  <si>
    <t>Avenida Albino De Almeida</t>
  </si>
  <si>
    <t>08710-000</t>
  </si>
  <si>
    <t>124 - Oscar Cl1</t>
  </si>
  <si>
    <t>52.438.815/0001-50</t>
  </si>
  <si>
    <t>125 - Jô Cl2</t>
  </si>
  <si>
    <t>126 - Jo Guaratingueta</t>
  </si>
  <si>
    <t>332.292.826.116</t>
  </si>
  <si>
    <t>Rua Comendador Rodrigues Alves</t>
  </si>
  <si>
    <t>89.705.513/0001-01</t>
  </si>
  <si>
    <t>127 - Oscar Jacareí</t>
  </si>
  <si>
    <t>392.478.410.119</t>
  </si>
  <si>
    <t>08700-000</t>
  </si>
  <si>
    <t>128 - Oscar Taubate Ct</t>
  </si>
  <si>
    <t>688.713.208.112</t>
  </si>
  <si>
    <t>Rua Carneiro De Souza</t>
  </si>
  <si>
    <t>129 - Jô Js</t>
  </si>
  <si>
    <t>125.566.694.118</t>
  </si>
  <si>
    <t>19.991.321/0001-23</t>
  </si>
  <si>
    <t>130 - Mkt E Amostras</t>
  </si>
  <si>
    <t>Foot Company Barra Mansa Calçados Ltda</t>
  </si>
  <si>
    <t>Ñ 131 - Jô Resende Shop</t>
  </si>
  <si>
    <t>Morada Do Castelo</t>
  </si>
  <si>
    <t>Associacao Dos Locatarios Do Centro De Serv. Compartilhado</t>
  </si>
  <si>
    <t>151 - Associacao Dos Locatarios</t>
  </si>
  <si>
    <t>Carioca Calcados Ltda</t>
  </si>
  <si>
    <t>50.915.875/0050-70</t>
  </si>
  <si>
    <t>Balneário</t>
  </si>
  <si>
    <t>Rua Coronel Pedro Demoro</t>
  </si>
  <si>
    <t>Grupo Carioca Calçados</t>
  </si>
  <si>
    <t>Varejo Carioca</t>
  </si>
  <si>
    <t>18600-410</t>
  </si>
  <si>
    <t>(14) 97400-1059</t>
  </si>
  <si>
    <t>203 - Outlet Carioca Calçados</t>
  </si>
  <si>
    <t>Bela Vista</t>
  </si>
  <si>
    <t>Rua Das Orquídeas</t>
  </si>
  <si>
    <t>50.915.875/0066-37</t>
  </si>
  <si>
    <t>204 - Carioca Esporte Estreito</t>
  </si>
  <si>
    <t>38300-076</t>
  </si>
  <si>
    <t>(34) 8439-4511</t>
  </si>
  <si>
    <t>205 - Ingleses Carioca</t>
  </si>
  <si>
    <t>Ingleses Do Rio Vermelho</t>
  </si>
  <si>
    <t>50.915.875/0063-94</t>
  </si>
  <si>
    <t>Sapata Comércio Art. Do Vestuário Ltda</t>
  </si>
  <si>
    <t>N 207 - Tiradentes Ct Carioca</t>
  </si>
  <si>
    <t>38010-020</t>
  </si>
  <si>
    <t>(34) 7400-6023</t>
  </si>
  <si>
    <t>Rua Tiradentes</t>
  </si>
  <si>
    <t>Avenida Central</t>
  </si>
  <si>
    <t>50.915.875/0052-31</t>
  </si>
  <si>
    <t>Rua Felipe Schmidt</t>
  </si>
  <si>
    <t>(17) 97400-5079</t>
  </si>
  <si>
    <t>Rua Gerôncio Thives</t>
  </si>
  <si>
    <t>50.915.875/0041-89</t>
  </si>
  <si>
    <t>15500-004</t>
  </si>
  <si>
    <t>(17) 97400-2447</t>
  </si>
  <si>
    <t>Av Lédio João Martins</t>
  </si>
  <si>
    <t>Rua Hercílio Luz</t>
  </si>
  <si>
    <t>50.915.875/0039-64</t>
  </si>
  <si>
    <t>Rua Deodoro</t>
  </si>
  <si>
    <t>(16) 97400-2919</t>
  </si>
  <si>
    <t>Av Madre Benvenuta</t>
  </si>
  <si>
    <t>50.915.875/0038-83</t>
  </si>
  <si>
    <t>14400-690</t>
  </si>
  <si>
    <t>(16) 97403-0489</t>
  </si>
  <si>
    <t>50.915.875/0065-56</t>
  </si>
  <si>
    <t>38400-100</t>
  </si>
  <si>
    <t>(34) 7400-6637</t>
  </si>
  <si>
    <t>Bernardino Machado</t>
  </si>
  <si>
    <t>50.915.875/0058-27</t>
  </si>
  <si>
    <t>13480-005</t>
  </si>
  <si>
    <t>(19) 97401-2656</t>
  </si>
  <si>
    <t>Rodovia Br-101</t>
  </si>
  <si>
    <t>Rua Coronel Teixeira Oliveira</t>
  </si>
  <si>
    <t>50.915.875/0049-36</t>
  </si>
  <si>
    <t>19900-080</t>
  </si>
  <si>
    <t>(14) 97400-1431</t>
  </si>
  <si>
    <t>Rua Ver. Arthur Manoel Mariano</t>
  </si>
  <si>
    <t>229 - Ingleses Carioca 2</t>
  </si>
  <si>
    <t>Florianopolis</t>
  </si>
  <si>
    <t>50.915.875/0059-08</t>
  </si>
  <si>
    <t>loja229@cariocacalcados.com.br</t>
  </si>
  <si>
    <t>13560-640</t>
  </si>
  <si>
    <t>296 - Novo Cd Carioca</t>
  </si>
  <si>
    <t>(16) 97403-0556</t>
  </si>
  <si>
    <t>Sapucaia Do Sul</t>
  </si>
  <si>
    <t>Colonial</t>
  </si>
  <si>
    <t>Avenida Borges De Medeiros</t>
  </si>
  <si>
    <t>297 - Cd Carioca</t>
  </si>
  <si>
    <t>50.915.875/0042-60</t>
  </si>
  <si>
    <t>298 - Defeito Sc Carioca</t>
  </si>
  <si>
    <t>17010-000</t>
  </si>
  <si>
    <t>(14) 97400-1352</t>
  </si>
  <si>
    <t>299 - Defeito Oscar Sjc</t>
  </si>
  <si>
    <t>Xxxxxxxxxxx</t>
  </si>
  <si>
    <t>Xxxxxxxxxxxx</t>
  </si>
  <si>
    <t>Varejo Sul Ltda</t>
  </si>
  <si>
    <t>50.915.875/0043-40</t>
  </si>
  <si>
    <t>300 - Paquetá Matriz</t>
  </si>
  <si>
    <t>Porto Alegre</t>
  </si>
  <si>
    <t>Centro Histórico</t>
  </si>
  <si>
    <t>Rua Dos Andradas</t>
  </si>
  <si>
    <t>Grupo Paquetá</t>
  </si>
  <si>
    <t>15800-215</t>
  </si>
  <si>
    <t>Varejo Sul</t>
  </si>
  <si>
    <t>(17) 97400-6025</t>
  </si>
  <si>
    <t>301 - Paquetá Canoas</t>
  </si>
  <si>
    <t>302 - Paquetá Voluntários</t>
  </si>
  <si>
    <t>50.915.875/0051-50</t>
  </si>
  <si>
    <t>Rua Voluntários Da Pátria</t>
  </si>
  <si>
    <t>303 - Paquetá Ecommerce</t>
  </si>
  <si>
    <t>14780-300</t>
  </si>
  <si>
    <t>(17) 97400-5534</t>
  </si>
  <si>
    <t>Brigadeira</t>
  </si>
  <si>
    <t>Avenida Antônio Frederico Ozanam</t>
  </si>
  <si>
    <t>306 - Paquetá Park Shopp Canoas</t>
  </si>
  <si>
    <t>Avenida Farroupilha</t>
  </si>
  <si>
    <t>316 - Paquetá Loja Fechada</t>
  </si>
  <si>
    <t>Passo Da Areia</t>
  </si>
  <si>
    <t>Avenida João Wallig</t>
  </si>
  <si>
    <t>50.915.875/0054-01</t>
  </si>
  <si>
    <t>317 - Paquetá Protásio Alves</t>
  </si>
  <si>
    <t>Rio Branco</t>
  </si>
  <si>
    <t>Avenida Protásio Alves</t>
  </si>
  <si>
    <t>(18) 97400-2276</t>
  </si>
  <si>
    <t>Cachoeirinha</t>
  </si>
  <si>
    <t>Vila Imbui</t>
  </si>
  <si>
    <t>Avenida General Flores Da Cunha</t>
  </si>
  <si>
    <t>Gravataí</t>
  </si>
  <si>
    <t>Avenida José Loureiro Da Silva</t>
  </si>
  <si>
    <t>12281-620</t>
  </si>
  <si>
    <t>322 - Paquetá Loja Fechada</t>
  </si>
  <si>
    <t>(12) 99181-3882</t>
  </si>
  <si>
    <t>323 - Paquetá São Leopoldo</t>
  </si>
  <si>
    <t>São Leopoldo</t>
  </si>
  <si>
    <t>Rua Primeiro De Março</t>
  </si>
  <si>
    <t>326 - Paquetá Praia De Belas</t>
  </si>
  <si>
    <t>Praia De Belas</t>
  </si>
  <si>
    <t>(12) 97409-4938</t>
  </si>
  <si>
    <t>Avenida Praia De Belas</t>
  </si>
  <si>
    <t>327 - Paquetá Lindóia Shopp</t>
  </si>
  <si>
    <t>Jardim Lindóia</t>
  </si>
  <si>
    <t>Avenida Assis Brasil</t>
  </si>
  <si>
    <t>50.915.875/0033-79</t>
  </si>
  <si>
    <t>329 - Paquetá Joinville</t>
  </si>
  <si>
    <t>27542-080</t>
  </si>
  <si>
    <t>(21) 96422-1103</t>
  </si>
  <si>
    <t>Fátima</t>
  </si>
  <si>
    <t>Avenida Guilherme Schell</t>
  </si>
  <si>
    <t>(12) 97411-0774</t>
  </si>
  <si>
    <t>338 - Paquetá Esportes Shopp Bourbon Ipiranga</t>
  </si>
  <si>
    <t>Petrópolis</t>
  </si>
  <si>
    <t>Avenida Ipiranga</t>
  </si>
  <si>
    <t>Grupo Paquetá Esportes</t>
  </si>
  <si>
    <t>Novo Hamburgo</t>
  </si>
  <si>
    <t>Avenida Nações Unidas</t>
  </si>
  <si>
    <t>(12) 97411-9761</t>
  </si>
  <si>
    <t>12500-020</t>
  </si>
  <si>
    <t>(12) 97411-7325</t>
  </si>
  <si>
    <t>346 - Paquetá Jaraguá Do Sul</t>
  </si>
  <si>
    <t>Jaraguá Do Sul</t>
  </si>
  <si>
    <t>Avenida Getúlio Vargas</t>
  </si>
  <si>
    <t>347 - Paquetá  Shopp Villagio Caxias</t>
  </si>
  <si>
    <t>12327-005</t>
  </si>
  <si>
    <t>Caxias Do Sul</t>
  </si>
  <si>
    <t>(12) 99231-7136</t>
  </si>
  <si>
    <t>Desvio Rizzo</t>
  </si>
  <si>
    <t>Rodovia Rs-25</t>
  </si>
  <si>
    <t>349 - Paquetá Esportes Shopp Villa Romana</t>
  </si>
  <si>
    <t>12010-070</t>
  </si>
  <si>
    <t>Santa Mônica</t>
  </si>
  <si>
    <t>(12) 97411-9618</t>
  </si>
  <si>
    <t>Avenida Madre Benvenuta</t>
  </si>
  <si>
    <t>351 - Paquetá Blumenau</t>
  </si>
  <si>
    <t>Blumenau</t>
  </si>
  <si>
    <t>50.915.875/0032-98</t>
  </si>
  <si>
    <t>Cristal</t>
  </si>
  <si>
    <t>Avenida Diário De Notícias</t>
  </si>
  <si>
    <t>58.451.055/0001-06</t>
  </si>
  <si>
    <t>355 - Paquetá Esportes Shopp Bella Citta Passo Fundo</t>
  </si>
  <si>
    <t>Passo Fundo</t>
  </si>
  <si>
    <t>Rua Coronel Chicuta</t>
  </si>
  <si>
    <t>356 - Paquetá Esportes Andradas</t>
  </si>
  <si>
    <t>54.620.686/0001-42</t>
  </si>
  <si>
    <t>359 - Paquetá Garten Shopp Joinville</t>
  </si>
  <si>
    <t>Bom Retiro</t>
  </si>
  <si>
    <t>Avenida Rolf Wiest</t>
  </si>
  <si>
    <t>Upi Varejo Sul Ltda</t>
  </si>
  <si>
    <t>360 - Paquetá Shopp Rua Da Praia</t>
  </si>
  <si>
    <t>362 - Paquetá Esportes Shopp Royal Plaza Santa Maria</t>
  </si>
  <si>
    <t>Santa Maria</t>
  </si>
  <si>
    <t>Nossa Senhora Das Dores</t>
  </si>
  <si>
    <t>Avenida Nossa Senhora Das Dores</t>
  </si>
  <si>
    <t>363 - Paquetá Norte Shopp Blumenau</t>
  </si>
  <si>
    <t>Badenfurt</t>
  </si>
  <si>
    <t>Rodovia Br-470</t>
  </si>
  <si>
    <t>Sarandi</t>
  </si>
  <si>
    <t>Avenida Sertório</t>
  </si>
  <si>
    <t>88075-301</t>
  </si>
  <si>
    <t>365 - Paquetá Bourbon Ipiranga</t>
  </si>
  <si>
    <t>(48) 3281-6301</t>
  </si>
  <si>
    <t>(48) 8404-2518</t>
  </si>
  <si>
    <t>367 - Paquetá Shopp Bourbon Wallig</t>
  </si>
  <si>
    <t>Cristo Redentor</t>
  </si>
  <si>
    <t>378 - Paquetá Shopp Pelotas</t>
  </si>
  <si>
    <t>Pelotas</t>
  </si>
  <si>
    <t>Areal</t>
  </si>
  <si>
    <t>Avenida Ferreira Viana</t>
  </si>
  <si>
    <t>Passo Das Pedras</t>
  </si>
  <si>
    <t>Avenida Centenário</t>
  </si>
  <si>
    <t>89201-601</t>
  </si>
  <si>
    <t>391 - Paquetá Balneário Shopp</t>
  </si>
  <si>
    <t>(47) 7400-4895</t>
  </si>
  <si>
    <t>Estados</t>
  </si>
  <si>
    <t>Avenida Santa Catarina</t>
  </si>
  <si>
    <t>399 - Defeito Paquetá</t>
  </si>
  <si>
    <t>4261391.00-38</t>
  </si>
  <si>
    <t>Avenida Antonio Frederico Ozanam</t>
  </si>
  <si>
    <t>78.842.440/0090-59</t>
  </si>
  <si>
    <t>Grupo Gaston</t>
  </si>
  <si>
    <t>88110-800</t>
  </si>
  <si>
    <t>411 - Gaston Rio Grande</t>
  </si>
  <si>
    <t>Rio Grande</t>
  </si>
  <si>
    <t>Rua Duque De Caxias</t>
  </si>
  <si>
    <t>413 - Gaston Otávio Rocha</t>
  </si>
  <si>
    <t>88075-300</t>
  </si>
  <si>
    <t>(48) 3281-6304</t>
  </si>
  <si>
    <t>Avenida Otávio Rocha</t>
  </si>
  <si>
    <t>(48) 8404-2747</t>
  </si>
  <si>
    <t>414 - Gaston Cachoeirinha</t>
  </si>
  <si>
    <t>Vila Veranópolis</t>
  </si>
  <si>
    <t>415 - Gaston Azenha</t>
  </si>
  <si>
    <t>(48) 3281-6305</t>
  </si>
  <si>
    <t>(48) 9982-2841</t>
  </si>
  <si>
    <t>Azenha</t>
  </si>
  <si>
    <t>Avenida Da Azenha</t>
  </si>
  <si>
    <t>417 - Gaston Gravataí Cto</t>
  </si>
  <si>
    <t>88330-666</t>
  </si>
  <si>
    <t>(47) 3367-5961</t>
  </si>
  <si>
    <t>422 - Gaston Bourbon Assis Brasil</t>
  </si>
  <si>
    <t>Santa Maria Goretti</t>
  </si>
  <si>
    <t>88010-000</t>
  </si>
  <si>
    <t>(48) 3281-6309</t>
  </si>
  <si>
    <t>(48) 9836-0064</t>
  </si>
  <si>
    <t>424 - Gaston Alvorada</t>
  </si>
  <si>
    <t>88117-900</t>
  </si>
  <si>
    <t>Alvorada</t>
  </si>
  <si>
    <t>(48) 3281-6311</t>
  </si>
  <si>
    <t>Avenida Presidente Getúlio Vargas</t>
  </si>
  <si>
    <t>(48) 9836-0093</t>
  </si>
  <si>
    <t>Tristeza</t>
  </si>
  <si>
    <t>Avenida Otto Niemeyer</t>
  </si>
  <si>
    <t>427 - Gaston Carrefour Partenon</t>
  </si>
  <si>
    <t>Partenon</t>
  </si>
  <si>
    <t>Rua Albion</t>
  </si>
  <si>
    <t>88101-101</t>
  </si>
  <si>
    <t>(48) 3281-6312</t>
  </si>
  <si>
    <t>(48) 9836-0095</t>
  </si>
  <si>
    <t>428 - Gaston Carrefour Ubirici</t>
  </si>
  <si>
    <t>096/3959611</t>
  </si>
  <si>
    <t>Avenida Plínio Brasil Milano</t>
  </si>
  <si>
    <t>430 - Gaston Shopp Total</t>
  </si>
  <si>
    <t>Floresta</t>
  </si>
  <si>
    <t>Avenida Cristovao Colombo</t>
  </si>
  <si>
    <t>88301-001</t>
  </si>
  <si>
    <t>(47) 3346-1501</t>
  </si>
  <si>
    <t>(48) 9836-0116</t>
  </si>
  <si>
    <t>431 - Gaston Calçadão Canoas</t>
  </si>
  <si>
    <t>432 - Gaston Cachoeirinha Shopp Do Vale</t>
  </si>
  <si>
    <t>88010-001</t>
  </si>
  <si>
    <t>(48) 3281-6315</t>
  </si>
  <si>
    <t>(48) 9836-0082</t>
  </si>
  <si>
    <t>Vila Bom Princípio</t>
  </si>
  <si>
    <t>434 - Gaston Sapucaia Do Sul</t>
  </si>
  <si>
    <t>Primor</t>
  </si>
  <si>
    <t>Avenida Sapucaia</t>
  </si>
  <si>
    <t>88010-020</t>
  </si>
  <si>
    <t>(48) 3281-6316</t>
  </si>
  <si>
    <t>436 - Gaston Viamão</t>
  </si>
  <si>
    <t>Viamão</t>
  </si>
  <si>
    <t>Avenida Coronel Marcos De Andrade</t>
  </si>
  <si>
    <t>439 - Gaston Carrefour Sertorio</t>
  </si>
  <si>
    <t>(48) 3281-6317</t>
  </si>
  <si>
    <t>(48) 9836-0069</t>
  </si>
  <si>
    <t>441 - Gaston Shopp Bourbon Wallig</t>
  </si>
  <si>
    <t>88035-000</t>
  </si>
  <si>
    <t>(48) 3281-6318</t>
  </si>
  <si>
    <t>(48) 9836-0120</t>
  </si>
  <si>
    <t>444 - Gaston Shopp Pelotas</t>
  </si>
  <si>
    <t>446 - Gaston Shopp Rio Grande</t>
  </si>
  <si>
    <t>(48) 3281-6319</t>
  </si>
  <si>
    <t>(48) 9836-0113</t>
  </si>
  <si>
    <t>Vila São Miguel</t>
  </si>
  <si>
    <t>Rua Jockey Clube</t>
  </si>
  <si>
    <t>447 - Gaston Park Shopp Canoas</t>
  </si>
  <si>
    <t>(48) 3281-6321</t>
  </si>
  <si>
    <t>(48) 9982-2071</t>
  </si>
  <si>
    <t>449 - Gaston Shopp Praça Santa Maria</t>
  </si>
  <si>
    <t>Patronato</t>
  </si>
  <si>
    <t>Rodovia Br-287</t>
  </si>
  <si>
    <t>450 - Gaston Shopp Villagio Caxias</t>
  </si>
  <si>
    <t>Cidade Nova</t>
  </si>
  <si>
    <t>Rodovia Rsc-453</t>
  </si>
  <si>
    <t>(48) 3281-6323</t>
  </si>
  <si>
    <t>Brands Brasil Comercial Ltda</t>
  </si>
  <si>
    <t>500 - Defeito Diadora</t>
  </si>
  <si>
    <t>Grupo Diadora</t>
  </si>
  <si>
    <t>88010-060</t>
  </si>
  <si>
    <t>501 - Diadora Matriz</t>
  </si>
  <si>
    <t>(48) 3281-6324</t>
  </si>
  <si>
    <t>(48) 98880-2375</t>
  </si>
  <si>
    <t>125.386.809.114</t>
  </si>
  <si>
    <t>502 - Diadora Filial</t>
  </si>
  <si>
    <t>004261391.00-38</t>
  </si>
  <si>
    <t>Nova Serrana</t>
  </si>
  <si>
    <t>Jardim Padre Libério</t>
  </si>
  <si>
    <t>Rua Padre Liberio</t>
  </si>
  <si>
    <t>-</t>
  </si>
  <si>
    <t>88130-220</t>
  </si>
  <si>
    <t>503 - Diadora Ecommerce</t>
  </si>
  <si>
    <t>(48) 3281-6325</t>
  </si>
  <si>
    <t>505 - Brands Varejista Espirito Santo</t>
  </si>
  <si>
    <t>Serra</t>
  </si>
  <si>
    <t>Jacuhy</t>
  </si>
  <si>
    <t>Rodovia Governador Mario Covas</t>
  </si>
  <si>
    <t>506 - Brands Atacadista Espirito Santo</t>
  </si>
  <si>
    <t>88104-800</t>
  </si>
  <si>
    <t>(48) 3281-6326</t>
  </si>
  <si>
    <t>(48) 8823-0646</t>
  </si>
  <si>
    <t>Oscar Calcados Comercio Eletronico Ltda</t>
  </si>
  <si>
    <t>600 - Oscar Ecommerce</t>
  </si>
  <si>
    <t>004864479.00-72</t>
  </si>
  <si>
    <t>Extrema</t>
  </si>
  <si>
    <t>Pires</t>
  </si>
  <si>
    <t>Rodovia Fernão Dias</t>
  </si>
  <si>
    <t>601 - Oscar E-Commerce Filial Espirito Santo</t>
  </si>
  <si>
    <t>88160-130</t>
  </si>
  <si>
    <t>(48) 3281-6327</t>
  </si>
  <si>
    <t>610 - Oscar E-Commerce Filial Espirito Santo</t>
  </si>
  <si>
    <t>Foot Company Atacadista De Calcados Ltda</t>
  </si>
  <si>
    <t>700 - Atacado Espirito Santo</t>
  </si>
  <si>
    <t>Grupo Foot Company</t>
  </si>
  <si>
    <t>701 - Foot Company Filial Sjc/Sp</t>
  </si>
  <si>
    <t>88106-501</t>
  </si>
  <si>
    <t>(48) 3281-6328</t>
  </si>
  <si>
    <t>(48) 9982-2869</t>
  </si>
  <si>
    <t>Prime Esporte Ltda</t>
  </si>
  <si>
    <t>800 - Prime Esporte</t>
  </si>
  <si>
    <t>Rua Paraibuna - De 1503/1504 Ao Fim</t>
  </si>
  <si>
    <t>Grupo Prime Esporte</t>
  </si>
  <si>
    <t>Martins Mat Esp Ltda</t>
  </si>
  <si>
    <t>801 - Fortaleza Pici</t>
  </si>
  <si>
    <t>71.268.138</t>
  </si>
  <si>
    <t>Eusebio</t>
  </si>
  <si>
    <t>Tamatanduba</t>
  </si>
  <si>
    <t>Avenida Eusebio De Queiroz</t>
  </si>
  <si>
    <t>802 - Fortaleza Shopping Kennedy</t>
  </si>
  <si>
    <t>(48) 8465-8542</t>
  </si>
  <si>
    <t>803 - Fortaleza North Shopping</t>
  </si>
  <si>
    <t>Fortaleza</t>
  </si>
  <si>
    <t>Presidente Kennedy</t>
  </si>
  <si>
    <t>Avenida Bezerra De Menezes</t>
  </si>
  <si>
    <t>804 - Fortaleza Shopping Parangaba</t>
  </si>
  <si>
    <t>78.842.440/0024-70</t>
  </si>
  <si>
    <t>Parangaba</t>
  </si>
  <si>
    <t>Rua Germano Franck</t>
  </si>
  <si>
    <t>805 - Fortaleza Shopping Jóquei</t>
  </si>
  <si>
    <t>93212-110</t>
  </si>
  <si>
    <t>Joquei Clube</t>
  </si>
  <si>
    <t>Avenida Lineu Machado</t>
  </si>
  <si>
    <t>806 - Fortaleza Conceito</t>
  </si>
  <si>
    <t>Meireles</t>
  </si>
  <si>
    <t>Avenida Senador Virgilio Tavora</t>
  </si>
  <si>
    <t>78.842.440/0008-50</t>
  </si>
  <si>
    <t>807 - Fortaleza Shopping Papicu</t>
  </si>
  <si>
    <t>Papicu</t>
  </si>
  <si>
    <t>Rua Desembargador Lauro Nogueira</t>
  </si>
  <si>
    <t>808 - Fortaleza Shopping Iguatemi</t>
  </si>
  <si>
    <t>Edson Queiroz</t>
  </si>
  <si>
    <t>Avenida Washington Soares</t>
  </si>
  <si>
    <t>61.014.746/0001-49</t>
  </si>
  <si>
    <t>809 - Fortaleza Grand Shopping</t>
  </si>
  <si>
    <t>Messejana</t>
  </si>
  <si>
    <t>Avenida Frei Cirilo</t>
  </si>
  <si>
    <t>810 - Bahia Outlet</t>
  </si>
  <si>
    <t>Camacari</t>
  </si>
  <si>
    <t>Vila De Abrantes</t>
  </si>
  <si>
    <t>Estr. Do Coco, Km 12,5</t>
  </si>
  <si>
    <t>33.840.486/0001-25</t>
  </si>
  <si>
    <t>811 - Bahia Parque Shopping</t>
  </si>
  <si>
    <t>221.034.206</t>
  </si>
  <si>
    <t>Lauro De Freitas</t>
  </si>
  <si>
    <t>12210-000</t>
  </si>
  <si>
    <t>Avenida Santos Dumont</t>
  </si>
  <si>
    <t>812 - Bahia Norte Shopping</t>
  </si>
  <si>
    <t>215.595.68</t>
  </si>
  <si>
    <t>Salvador</t>
  </si>
  <si>
    <t>Sao Cristovao</t>
  </si>
  <si>
    <t>Rodovia Ba-526</t>
  </si>
  <si>
    <t>49.961.545/0001-53</t>
  </si>
  <si>
    <t>813 - Bahia Paralela</t>
  </si>
  <si>
    <t>217.361.857</t>
  </si>
  <si>
    <t>Patamares</t>
  </si>
  <si>
    <t>Avenida Luis Viana Filho</t>
  </si>
  <si>
    <t>90020-008</t>
  </si>
  <si>
    <t>814 - Bahia Salvador Shopping</t>
  </si>
  <si>
    <t>221.069.523</t>
  </si>
  <si>
    <t>Caminho Das Arvores</t>
  </si>
  <si>
    <t>Avenida Tancredo Neves</t>
  </si>
  <si>
    <t>49.961.545/0055-46</t>
  </si>
  <si>
    <t>815 - Bahia Shopping Da Bahia</t>
  </si>
  <si>
    <t>216.012.297</t>
  </si>
  <si>
    <t>816 - Bahia Conceito</t>
  </si>
  <si>
    <t>Pituba</t>
  </si>
  <si>
    <t>Avenida Paulo Vi</t>
  </si>
  <si>
    <t>817 - Bahia Bella Vista</t>
  </si>
  <si>
    <t>Horto Bela Vista</t>
  </si>
  <si>
    <t>Alameda Euvaldo Luz</t>
  </si>
  <si>
    <t>90030-001</t>
  </si>
  <si>
    <t>(51) 30180-8500</t>
  </si>
  <si>
    <t>(51) 9732-6124</t>
  </si>
  <si>
    <t>818 - Bahia Fonte Nova</t>
  </si>
  <si>
    <t>213.713.571</t>
  </si>
  <si>
    <t>Nazare</t>
  </si>
  <si>
    <t>Ladeira Da Fonte Das Pedras</t>
  </si>
  <si>
    <t>Paquetá Gramado</t>
  </si>
  <si>
    <t>48.642.855/0001-42</t>
  </si>
  <si>
    <t>0.0560112050.0</t>
  </si>
  <si>
    <t>Gramado</t>
  </si>
  <si>
    <t>92420-360</t>
  </si>
  <si>
    <t>Sao Jose Esporte Clube - Sociedade Anonima Do Futebol</t>
  </si>
  <si>
    <t>900 - Saf Mkt</t>
  </si>
  <si>
    <t>Vila Industrial</t>
  </si>
  <si>
    <t>Rua Doutor Ricardo Edwards</t>
  </si>
  <si>
    <t>Ñ Campinas Shopp</t>
  </si>
  <si>
    <t>92020-475</t>
  </si>
  <si>
    <t>Jardim Ipaussurama</t>
  </si>
  <si>
    <t>(51) 30520-5580</t>
  </si>
  <si>
    <t>Avenida John Boyd Dunlop</t>
  </si>
  <si>
    <t>51997254176.0</t>
  </si>
  <si>
    <t>302 - Defeito Jô São Carlos</t>
  </si>
  <si>
    <t>Ñ 302 - Defeito Jô São Carlos</t>
  </si>
  <si>
    <t>Sao Carlos</t>
  </si>
  <si>
    <t>Avenida Sao Carlos - De 0795 A 2167 - Lado Impar</t>
  </si>
  <si>
    <t>49.961.545/0037-64</t>
  </si>
  <si>
    <t>Ñ Resende Shopp</t>
  </si>
  <si>
    <t>77.629.823</t>
  </si>
  <si>
    <t>Paraíso</t>
  </si>
  <si>
    <t>Rua Dorival Marcondes Godoy</t>
  </si>
  <si>
    <t>Ñ Grupo Foot Company</t>
  </si>
  <si>
    <t>91349-900</t>
  </si>
  <si>
    <t>Ñ Cancelada</t>
  </si>
  <si>
    <t>Jo Calçados Ltda</t>
  </si>
  <si>
    <t>Colcci Mogi</t>
  </si>
  <si>
    <t>90410-004</t>
  </si>
  <si>
    <t>Ñ Loja Teste Ti</t>
  </si>
  <si>
    <t>(51) 30180-8510</t>
  </si>
  <si>
    <t>(51) 9718-4349</t>
  </si>
  <si>
    <t>Vila Oliveira</t>
  </si>
  <si>
    <t>Praça Francisca De Campo Melo Freire</t>
  </si>
  <si>
    <t>Ñ Grupo Teste Ti</t>
  </si>
  <si>
    <t>Outlet Arezzo</t>
  </si>
  <si>
    <t>Ñ Outlet Arezzo</t>
  </si>
  <si>
    <t>Avenida Andromeda - Ate 2530 - Lado Par</t>
  </si>
  <si>
    <t>Dados Fictícios</t>
  </si>
  <si>
    <t>068 - Bauru (Nao Usar)</t>
  </si>
  <si>
    <t>94910-002</t>
  </si>
  <si>
    <t>Rua Henrique Savi, 55</t>
  </si>
  <si>
    <t>Ñ Grupo Oscar Sjc</t>
  </si>
  <si>
    <t>(51) 30747-0460</t>
  </si>
  <si>
    <t>(51) 9710-5478</t>
  </si>
  <si>
    <t>Oscar E Abys Empreendimentos De Moda Ltda</t>
  </si>
  <si>
    <t>O&amp;A Jaboatão Guararapes</t>
  </si>
  <si>
    <t>001 - O&amp;A GUARARAPES</t>
  </si>
  <si>
    <t>Jaboatão Dos Guararapes</t>
  </si>
  <si>
    <t>Piedade</t>
  </si>
  <si>
    <t>Avenida Barreto De Menezes</t>
  </si>
  <si>
    <t>Grupo O&amp;A</t>
  </si>
  <si>
    <t>O&amp;A Caruaru Shopping</t>
  </si>
  <si>
    <t>002 - O&amp;A SHOPPING CARUARU</t>
  </si>
  <si>
    <t>Caruaru</t>
  </si>
  <si>
    <t>Indianópolis</t>
  </si>
  <si>
    <t>Avenida Adjar Da Silva Casé</t>
  </si>
  <si>
    <t>94010-000</t>
  </si>
  <si>
    <t>(51) 30428-6670</t>
  </si>
  <si>
    <t>(51) 9693-4037</t>
  </si>
  <si>
    <t>O&amp;A Tacaruna</t>
  </si>
  <si>
    <t>003 - O&amp;A TACARUNA</t>
  </si>
  <si>
    <t>Santo Amaro</t>
  </si>
  <si>
    <t>Avenida Governador Agamenon Magalhães</t>
  </si>
  <si>
    <t>O&amp;A Caruaru Centro</t>
  </si>
  <si>
    <t>49.961.545/0054-65</t>
  </si>
  <si>
    <t>004 - O&amp;A CENTRO CARUARU</t>
  </si>
  <si>
    <t>O&amp;A Prazeres</t>
  </si>
  <si>
    <t>005 - O&amp;A PRAZERES</t>
  </si>
  <si>
    <t>Prazeres</t>
  </si>
  <si>
    <t>301 - Defeito Jô Sjc</t>
  </si>
  <si>
    <t>Ñ 301 - Defeito Jô Sjc</t>
  </si>
  <si>
    <t>30a</t>
  </si>
  <si>
    <t>93010-210</t>
  </si>
  <si>
    <t>(51) 30440-1450</t>
  </si>
  <si>
    <t>(51) 9688-1096</t>
  </si>
  <si>
    <t>Add Comercio De Calcados E Artigos Esportivos Eireli Ep</t>
  </si>
  <si>
    <t>Ñ 052 - Adidas Mogi</t>
  </si>
  <si>
    <t>A52</t>
  </si>
  <si>
    <t>Avenida Vereador Narciso Yague Guimaraes, 1001  Mogi Shopping</t>
  </si>
  <si>
    <t>Fest Club Adm De Cartões De Crédito Ltda</t>
  </si>
  <si>
    <t>Festcard Abys</t>
  </si>
  <si>
    <t>ABY</t>
  </si>
  <si>
    <t>90110-970</t>
  </si>
  <si>
    <t>Loja Teste Conta Dinheiro Duplicado</t>
  </si>
  <si>
    <t>Teste Conta Dinheiro Duplicado</t>
  </si>
  <si>
    <t>(51) 30180-8520</t>
  </si>
  <si>
    <t>(51) 9683-3327</t>
  </si>
  <si>
    <t>CDD</t>
  </si>
  <si>
    <t>Rua Vereador Humberto Vianna Machado</t>
  </si>
  <si>
    <t>Associacao Dos Locatarios Do Centro De Serviço Compartilhado</t>
  </si>
  <si>
    <t>Csc</t>
  </si>
  <si>
    <t>CSC</t>
  </si>
  <si>
    <t>Defeito Fornecedor Oscar Sjc</t>
  </si>
  <si>
    <t>Ñ Defeito Fornecedor Oscar Sjc</t>
  </si>
  <si>
    <t>DEF</t>
  </si>
  <si>
    <t>Xxxxxxxxxx</t>
  </si>
  <si>
    <t>Xxxxxxxxxxxxxxxxxxxxxxxxxxxxxx</t>
  </si>
  <si>
    <t>Loja Descarte</t>
  </si>
  <si>
    <t>DES</t>
  </si>
  <si>
    <t>Festcard Oscar</t>
  </si>
  <si>
    <t>91010-003</t>
  </si>
  <si>
    <t>FCA</t>
  </si>
  <si>
    <t>(51) 30180-8530</t>
  </si>
  <si>
    <t>51996657114.0</t>
  </si>
  <si>
    <t>Grupo Fca</t>
  </si>
  <si>
    <t>Financial Gestao Financeira Ltda</t>
  </si>
  <si>
    <t>Financial</t>
  </si>
  <si>
    <t>FIN</t>
  </si>
  <si>
    <t>Não Utilizar - Financeiro Mogi</t>
  </si>
  <si>
    <t>Ñ Não Utilizar - Financeiro Mogi</t>
  </si>
  <si>
    <t>FMG</t>
  </si>
  <si>
    <t>Xxxxx</t>
  </si>
  <si>
    <t>86.356.140/0001-12</t>
  </si>
  <si>
    <t>Financeiro</t>
  </si>
  <si>
    <t>FSJ</t>
  </si>
  <si>
    <t>Matrix Online Ltda</t>
  </si>
  <si>
    <t>Matrix</t>
  </si>
  <si>
    <t>MTX</t>
  </si>
  <si>
    <t>Parque Residencial Aquarius</t>
  </si>
  <si>
    <t>Avenida Alfredo Ignácio Nogueira Penido</t>
  </si>
  <si>
    <t>Outlet Oscar Calçados</t>
  </si>
  <si>
    <t>Ñ Outlet Oscar Calçados</t>
  </si>
  <si>
    <t>OOC</t>
  </si>
  <si>
    <t>(51) 30180-8540</t>
  </si>
  <si>
    <t>(51) 9664-5292</t>
  </si>
  <si>
    <t>Oscarsa</t>
  </si>
  <si>
    <t>Testeoscar</t>
  </si>
  <si>
    <t>osc</t>
  </si>
  <si>
    <t>Oxygen Marketing E Tecnologia Ltda</t>
  </si>
  <si>
    <t>Oxygen</t>
  </si>
  <si>
    <t>OXY</t>
  </si>
  <si>
    <t>Transport Gestao Em Logistica Ltda</t>
  </si>
  <si>
    <t>Transport</t>
  </si>
  <si>
    <t>92200-654</t>
  </si>
  <si>
    <t>TRP</t>
  </si>
  <si>
    <t>(51) 30520-5590</t>
  </si>
  <si>
    <t>51998406340.0</t>
  </si>
  <si>
    <t>90610-000</t>
  </si>
  <si>
    <t>(51) 30180-8550</t>
  </si>
  <si>
    <t>(51) 9836-7840</t>
  </si>
  <si>
    <t>93310-065</t>
  </si>
  <si>
    <t>(51) 30378-2990</t>
  </si>
  <si>
    <t>51998164285.0</t>
  </si>
  <si>
    <t>(51) 30180-8560</t>
  </si>
  <si>
    <t>(51) 9767-0389</t>
  </si>
  <si>
    <t>(51) 30520-5600</t>
  </si>
  <si>
    <t>51998470492.0</t>
  </si>
  <si>
    <t>89251-000</t>
  </si>
  <si>
    <t>(47) 30509-1370</t>
  </si>
  <si>
    <t>47992908323.0</t>
  </si>
  <si>
    <t>95110-690</t>
  </si>
  <si>
    <t>(54) 30929-0040</t>
  </si>
  <si>
    <t>(54) 9709-6696</t>
  </si>
  <si>
    <t>(51) 9007-1181</t>
  </si>
  <si>
    <t>(48) 30252-0210</t>
  </si>
  <si>
    <t>(48) 8836-6413</t>
  </si>
  <si>
    <t>89010-203</t>
  </si>
  <si>
    <t>(47) 30276-3050</t>
  </si>
  <si>
    <t>(47) 9212-3308</t>
  </si>
  <si>
    <t>90810-080</t>
  </si>
  <si>
    <t>(51) 30180-8570</t>
  </si>
  <si>
    <t>51997530025.0</t>
  </si>
  <si>
    <t>(51) 30180-8580</t>
  </si>
  <si>
    <t>51997526192.0</t>
  </si>
  <si>
    <t>99010-050</t>
  </si>
  <si>
    <t>(54) 30226-4570</t>
  </si>
  <si>
    <t>(54) 9672-8190</t>
  </si>
  <si>
    <t>(51) 30180-8760</t>
  </si>
  <si>
    <t>51997436525.0</t>
  </si>
  <si>
    <t>89223-005</t>
  </si>
  <si>
    <t>(47) 30188-0060</t>
  </si>
  <si>
    <t>48991261323.0</t>
  </si>
  <si>
    <t>49.961.545/0049-06</t>
  </si>
  <si>
    <t>90020-007</t>
  </si>
  <si>
    <t>97050-531</t>
  </si>
  <si>
    <t>(55) 30250-0050</t>
  </si>
  <si>
    <t>(55) 9649-8585</t>
  </si>
  <si>
    <t>89070-200</t>
  </si>
  <si>
    <t>(47) 30276-3060</t>
  </si>
  <si>
    <t>47991797141.0</t>
  </si>
  <si>
    <t>91130-720</t>
  </si>
  <si>
    <t>(51) 30180-8600</t>
  </si>
  <si>
    <t>(51) 9897-9939</t>
  </si>
  <si>
    <t>49.961.545/0021-05</t>
  </si>
  <si>
    <t>91010-002</t>
  </si>
  <si>
    <t>(51) 30180-8620</t>
  </si>
  <si>
    <t>51998864435.0</t>
  </si>
  <si>
    <t>96085-000</t>
  </si>
  <si>
    <t>(53) 30259-1090</t>
  </si>
  <si>
    <t>53999634292.0</t>
  </si>
  <si>
    <t>94035-240</t>
  </si>
  <si>
    <t>(51) 30428-6680</t>
  </si>
  <si>
    <t>51998821892.0</t>
  </si>
  <si>
    <t>88339-005</t>
  </si>
  <si>
    <t>(47) 30554-4750</t>
  </si>
  <si>
    <t>(47) 9147-8914</t>
  </si>
  <si>
    <t>49.961.545/0067-80</t>
  </si>
  <si>
    <t>(51) 30180-8630</t>
  </si>
  <si>
    <t>(51) 9881-6238</t>
  </si>
  <si>
    <t>96200-020</t>
  </si>
  <si>
    <t>(53) 30358-0980</t>
  </si>
  <si>
    <t>(51) 9880-9032</t>
  </si>
  <si>
    <t>90020-151</t>
  </si>
  <si>
    <t>(51) 30180-8640</t>
  </si>
  <si>
    <t>(51) 9870-2996</t>
  </si>
  <si>
    <t>94910-001</t>
  </si>
  <si>
    <t>(51) 30747-0470</t>
  </si>
  <si>
    <t>(51) 9869-6887</t>
  </si>
  <si>
    <t>90160-002</t>
  </si>
  <si>
    <t>(51) 30180-8650</t>
  </si>
  <si>
    <t>(51) 9853-6202</t>
  </si>
  <si>
    <t>(51) 30428-6690</t>
  </si>
  <si>
    <t>51998508976.0</t>
  </si>
  <si>
    <t>(51) 30180-8660</t>
  </si>
  <si>
    <t>51998506991.0</t>
  </si>
  <si>
    <t>(51) 30520-5610</t>
  </si>
  <si>
    <t>51999902097.0</t>
  </si>
  <si>
    <t>91010-000</t>
  </si>
  <si>
    <t>(51) 30180-8670</t>
  </si>
  <si>
    <t>51999560247.0</t>
  </si>
  <si>
    <t>(51) 30180-8680</t>
  </si>
  <si>
    <t>(51) 9951-5101</t>
  </si>
  <si>
    <t>94810-001</t>
  </si>
  <si>
    <t>(51) 30341-6990</t>
  </si>
  <si>
    <t>51999481469.0</t>
  </si>
  <si>
    <t>91910-001</t>
  </si>
  <si>
    <t>(51) 30180-8690</t>
  </si>
  <si>
    <t>51999388772.0</t>
  </si>
  <si>
    <t>91530-010</t>
  </si>
  <si>
    <t>(51) 30180-8700</t>
  </si>
  <si>
    <t>51999371943.0</t>
  </si>
  <si>
    <t>90520-003</t>
  </si>
  <si>
    <t>(51) 30180-8710</t>
  </si>
  <si>
    <t>51999364384.0</t>
  </si>
  <si>
    <t>90560-003</t>
  </si>
  <si>
    <t>(51) 30180-8720</t>
  </si>
  <si>
    <t>51999302011.0</t>
  </si>
  <si>
    <t>92010-260</t>
  </si>
  <si>
    <t>(51) 30520-5620</t>
  </si>
  <si>
    <t>51999228750.0</t>
  </si>
  <si>
    <t>94950-001</t>
  </si>
  <si>
    <t>(51) 30747-0480</t>
  </si>
  <si>
    <t>51999103705.0</t>
  </si>
  <si>
    <t>93210-240</t>
  </si>
  <si>
    <t>(51) 30452-0000</t>
  </si>
  <si>
    <t>(51) 9597-7721</t>
  </si>
  <si>
    <t>94410-050</t>
  </si>
  <si>
    <t>(51) 30452-0100</t>
  </si>
  <si>
    <t>(51) 9587-3490</t>
  </si>
  <si>
    <t>91110-581</t>
  </si>
  <si>
    <t>(51) 30180-8730</t>
  </si>
  <si>
    <t>51995661194.0</t>
  </si>
  <si>
    <t>(51) 30180-8740</t>
  </si>
  <si>
    <t>51995627398.0</t>
  </si>
  <si>
    <t>(51) 30180-8750</t>
  </si>
  <si>
    <t>51995527526.0</t>
  </si>
  <si>
    <t>(53) 30259-1100</t>
  </si>
  <si>
    <t>53997133604.0</t>
  </si>
  <si>
    <t>(51) 30428-6700</t>
  </si>
  <si>
    <t>51995440979.0</t>
  </si>
  <si>
    <t>96212-730</t>
  </si>
  <si>
    <t>(53) 30358-0990</t>
  </si>
  <si>
    <t>51995302146.0</t>
  </si>
  <si>
    <t>(51) 30520-5640</t>
  </si>
  <si>
    <t>51995244686.0</t>
  </si>
  <si>
    <t>97020-405</t>
  </si>
  <si>
    <t>(55) 30250-0060</t>
  </si>
  <si>
    <t>51995197479.0</t>
  </si>
  <si>
    <t>Rodovia RSC-453</t>
  </si>
  <si>
    <t>95110-900</t>
  </si>
  <si>
    <t>(54) 29918-2710</t>
  </si>
  <si>
    <t>(54) 99283-9850</t>
  </si>
  <si>
    <t>08.451.504/0001-30</t>
  </si>
  <si>
    <t>24.808.018/0001-82</t>
  </si>
  <si>
    <t>24.808.018/0002-63</t>
  </si>
  <si>
    <t>35523-186</t>
  </si>
  <si>
    <t>79.332.465/0001-08</t>
  </si>
  <si>
    <t>24.808.018/0003-44</t>
  </si>
  <si>
    <t>29161-230</t>
  </si>
  <si>
    <t>24.808.018/0004-25</t>
  </si>
  <si>
    <t>54.650.901/0001-58</t>
  </si>
  <si>
    <t>37642-911</t>
  </si>
  <si>
    <t>54.650.901/0002-39</t>
  </si>
  <si>
    <t>13.188.910/0001-91</t>
  </si>
  <si>
    <t>62.941.819/0001-00</t>
  </si>
  <si>
    <t>62.941.819/0002-91</t>
  </si>
  <si>
    <t>67.029.614/0001-77</t>
  </si>
  <si>
    <t>loja800@primeesportesbr.com.br</t>
  </si>
  <si>
    <t>gerente800@primeesportesbr.com.br</t>
  </si>
  <si>
    <t>40.159.753/0021-02</t>
  </si>
  <si>
    <t>61768-680</t>
  </si>
  <si>
    <t xml:space="preserve">Thiago </t>
  </si>
  <si>
    <t>85 9713-0491</t>
  </si>
  <si>
    <t>loja801@primeesportesbr.com.br</t>
  </si>
  <si>
    <t>gerente801@primeesportesbr.com.br</t>
  </si>
  <si>
    <t>40.159.753/0024-55</t>
  </si>
  <si>
    <t>85 9713-0495</t>
  </si>
  <si>
    <t>loja802@primeesportesbr.com.br</t>
  </si>
  <si>
    <t>gerente802@primeesportesbr.com.br</t>
  </si>
  <si>
    <t>40.159.753/0031-84</t>
  </si>
  <si>
    <t>60325-002</t>
  </si>
  <si>
    <t>85 9706-0188</t>
  </si>
  <si>
    <t>loja803@primeesportesbr.com.br</t>
  </si>
  <si>
    <t>gerente803@primeesportesbr.com.br</t>
  </si>
  <si>
    <t>40.159.753/0028-89</t>
  </si>
  <si>
    <t>60740-020</t>
  </si>
  <si>
    <t>49 9982-0028</t>
  </si>
  <si>
    <t>loja804@primeesportesbr.com.br</t>
  </si>
  <si>
    <t>gerente804@primeesportesbr.com.br</t>
  </si>
  <si>
    <t>40.159.753/0029-60</t>
  </si>
  <si>
    <t>60520-101</t>
  </si>
  <si>
    <t>85 9713-0012</t>
  </si>
  <si>
    <t>loja805@primeesportesbr.com.br</t>
  </si>
  <si>
    <t>gerente805@primeesportesbr.com.br</t>
  </si>
  <si>
    <t>40.159.753/0026-17</t>
  </si>
  <si>
    <t>60170-265</t>
  </si>
  <si>
    <t>85 9713-0385</t>
  </si>
  <si>
    <t>loja806@primeesportesbr.com.br</t>
  </si>
  <si>
    <t>gerente806@primeesportesbr.com.br</t>
  </si>
  <si>
    <t>40.159.753/0027-06</t>
  </si>
  <si>
    <t>60176-065</t>
  </si>
  <si>
    <t>85 9713-0473</t>
  </si>
  <si>
    <t>loja807@primeesportesbr.com.br</t>
  </si>
  <si>
    <t>gerente807@primeesportesbr.com.br</t>
  </si>
  <si>
    <t>40.159.753/0030-01</t>
  </si>
  <si>
    <t>60811-341</t>
  </si>
  <si>
    <t>85 9713-0483</t>
  </si>
  <si>
    <t>loja808@primeesportesbr.com.br</t>
  </si>
  <si>
    <t>gerente808@primeesportesbr.com.br</t>
  </si>
  <si>
    <t>40.159.753/0023-74</t>
  </si>
  <si>
    <t>60840-285</t>
  </si>
  <si>
    <t>85 9713-0478</t>
  </si>
  <si>
    <t>loja809@primeesportesbr.com.br</t>
  </si>
  <si>
    <t>gerente809@primeesportesbr.com.br</t>
  </si>
  <si>
    <t>67.029.614/0015-72</t>
  </si>
  <si>
    <t>42827-970</t>
  </si>
  <si>
    <t>Seweryno</t>
  </si>
  <si>
    <t>71 9409-0103</t>
  </si>
  <si>
    <t>loja810@primeesportesbr.com.br</t>
  </si>
  <si>
    <t>gerente810@primeesportesbr.com.br</t>
  </si>
  <si>
    <t>67.029.614/0010-68</t>
  </si>
  <si>
    <t>42702-400</t>
  </si>
  <si>
    <t>71 9130-3897</t>
  </si>
  <si>
    <t>loja811@primeesportesbr.com.br</t>
  </si>
  <si>
    <t>gerente811@primeesportesbr.com.br</t>
  </si>
  <si>
    <t>67.029.614/0016-53</t>
  </si>
  <si>
    <t>41510-000</t>
  </si>
  <si>
    <t>71 9409-0095</t>
  </si>
  <si>
    <t>loja812@primeesportesbr.com.br</t>
  </si>
  <si>
    <t>gerente812@primeesportesbr.com.br</t>
  </si>
  <si>
    <t>67.029.614/0011-49</t>
  </si>
  <si>
    <t>41680-400</t>
  </si>
  <si>
    <t>71 9408-0082</t>
  </si>
  <si>
    <t>loja813@primeesportesbr.com.br</t>
  </si>
  <si>
    <t>gerente813@primeesportesbr.com.br</t>
  </si>
  <si>
    <t>67.029.614/0009-24</t>
  </si>
  <si>
    <t>41820-021</t>
  </si>
  <si>
    <t>71 9351-0152</t>
  </si>
  <si>
    <t>loja814@primeesportesbr.com.br</t>
  </si>
  <si>
    <t>gerente814@primeesportesbr.com.br</t>
  </si>
  <si>
    <t>67.029.614/0012-20</t>
  </si>
  <si>
    <t>41820-908</t>
  </si>
  <si>
    <t>71 9351-0151</t>
  </si>
  <si>
    <t>loja815@primeesportesbr.com.br</t>
  </si>
  <si>
    <t>gerente815@primeesportesbr.com.br</t>
  </si>
  <si>
    <t>67.029.614/0013-00</t>
  </si>
  <si>
    <t>41810-000</t>
  </si>
  <si>
    <t>71 9409-0102</t>
  </si>
  <si>
    <t>loja816@primeesportesbr.com.br</t>
  </si>
  <si>
    <t>gerente816@primeesportesbr.com.br</t>
  </si>
  <si>
    <t>67.029.614/0014-91</t>
  </si>
  <si>
    <t>41098-020</t>
  </si>
  <si>
    <t>71 9409-0105</t>
  </si>
  <si>
    <t>loja817@primeesportesbr.com.br</t>
  </si>
  <si>
    <t>gerente817@primeesportesbr.com.br</t>
  </si>
  <si>
    <t>67.029.614/0017-34</t>
  </si>
  <si>
    <t>40050-565</t>
  </si>
  <si>
    <t>71 9351-0155</t>
  </si>
  <si>
    <t>loja818@primeesportesbr.com.br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</si>
</sst>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hh:mm"/>
    <numFmt numFmtId="166" formatCode="d.m.yy"/>
  </numFmts>
  <fonts count="18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rgb="FFFFFFFF"/>
      <name val="Arial"/>
    </font>
    <font/>
    <font>
      <i/>
      <sz val="8.0"/>
      <color rgb="FF808080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11.0"/>
      <color theme="1"/>
      <name val="Arial"/>
    </font>
    <font>
      <b/>
      <sz val="14.0"/>
      <color rgb="FF305496"/>
      <name val="Arial"/>
    </font>
    <font>
      <b/>
      <sz val="12.0"/>
      <color theme="1"/>
      <name val="Arial"/>
    </font>
    <font>
      <color rgb="FF222222"/>
      <name val="Arial"/>
    </font>
    <font>
      <b/>
      <i/>
      <sz val="11.0"/>
      <color theme="1"/>
      <name val="Arial"/>
    </font>
    <font>
      <b/>
      <color theme="1"/>
      <name val="Arial"/>
    </font>
    <font>
      <b/>
      <sz val="11.0"/>
      <color rgb="FFFFFFFF"/>
      <name val="Arial"/>
    </font>
    <font>
      <b/>
      <sz val="10.0"/>
      <color rgb="FF305496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rgb="FFC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C6EFCE"/>
        <bgColor rgb="FFC6EFCE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C65911"/>
        <bgColor rgb="FFC65911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C00000"/>
        <bgColor rgb="FFC00000"/>
      </patternFill>
    </fill>
    <fill>
      <patternFill patternType="solid">
        <fgColor rgb="FF595959"/>
        <bgColor rgb="FF59595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4D7F5"/>
        <bgColor rgb="FFE4D7F5"/>
      </patternFill>
    </fill>
    <fill>
      <patternFill patternType="solid">
        <fgColor rgb="FFFCE4D6"/>
        <bgColor rgb="FFFCE4D6"/>
      </patternFill>
    </fill>
    <fill>
      <patternFill patternType="solid">
        <fgColor rgb="FFFADBD8"/>
        <bgColor rgb="FFFADBD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/>
      <bottom style="thin">
        <color rgb="FFBFBFB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5" numFmtId="164" xfId="0" applyFont="1" applyNumberFormat="1"/>
    <xf borderId="3" fillId="0" fontId="3" numFmtId="0" xfId="0" applyBorder="1" applyFont="1"/>
    <xf borderId="1" fillId="3" fontId="6" numFmtId="0" xfId="0" applyAlignment="1" applyBorder="1" applyFill="1" applyFont="1">
      <alignment horizontal="center" vertical="center"/>
    </xf>
    <xf borderId="0" fillId="0" fontId="7" numFmtId="0" xfId="0" applyFont="1"/>
    <xf borderId="1" fillId="4" fontId="2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/>
    </xf>
    <xf borderId="1" fillId="5" fontId="2" numFmtId="0" xfId="0" applyAlignment="1" applyBorder="1" applyFill="1" applyFont="1">
      <alignment horizontal="center" vertical="center"/>
    </xf>
    <xf borderId="0" fillId="0" fontId="5" numFmtId="21" xfId="0" applyFont="1" applyNumberFormat="1"/>
    <xf borderId="4" fillId="6" fontId="8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 vertical="center"/>
    </xf>
    <xf borderId="0" fillId="0" fontId="9" numFmtId="0" xfId="0" applyAlignment="1" applyFont="1">
      <alignment readingOrder="0"/>
    </xf>
    <xf borderId="0" fillId="10" fontId="10" numFmtId="0" xfId="0" applyAlignment="1" applyFill="1" applyFont="1">
      <alignment readingOrder="0"/>
    </xf>
    <xf borderId="4" fillId="11" fontId="8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 vertical="center"/>
    </xf>
    <xf borderId="0" fillId="0" fontId="11" numFmtId="0" xfId="0" applyAlignment="1" applyFont="1">
      <alignment readingOrder="0"/>
    </xf>
    <xf borderId="1" fillId="4" fontId="6" numFmtId="0" xfId="0" applyAlignment="1" applyBorder="1" applyFill="1" applyFont="1">
      <alignment horizontal="center" vertical="center"/>
    </xf>
    <xf borderId="1" fillId="12" fontId="6" numFmtId="0" xfId="0" applyAlignment="1" applyBorder="1" applyFill="1" applyFon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0" fillId="0" fontId="12" numFmtId="0" xfId="0" applyFont="1"/>
    <xf borderId="0" fillId="13" fontId="2" numFmtId="0" xfId="0" applyAlignment="1" applyFill="1" applyFont="1">
      <alignment horizontal="center" vertical="center"/>
    </xf>
    <xf borderId="5" fillId="2" fontId="2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5" fillId="4" fontId="2" numFmtId="0" xfId="0" applyAlignment="1" applyBorder="1" applyFill="1" applyFont="1">
      <alignment horizontal="center" shrinkToFit="0" vertical="center" wrapText="1"/>
    </xf>
    <xf borderId="1" fillId="2" fontId="13" numFmtId="0" xfId="0" applyAlignment="1" applyBorder="1" applyFill="1" applyFont="1">
      <alignment horizontal="center" vertical="center"/>
    </xf>
    <xf borderId="1" fillId="4" fontId="13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right" vertical="center"/>
    </xf>
    <xf borderId="5" fillId="5" fontId="2" numFmtId="0" xfId="0" applyAlignment="1" applyBorder="1" applyFill="1" applyFont="1">
      <alignment horizontal="center" shrinkToFit="0" vertical="center" wrapText="1"/>
    </xf>
    <xf borderId="5" fillId="7" fontId="2" numFmtId="0" xfId="0" applyAlignment="1" applyBorder="1" applyFill="1" applyFont="1">
      <alignment horizontal="center" shrinkToFit="0" vertical="center" wrapText="1"/>
    </xf>
    <xf borderId="5" fillId="9" fontId="2" numFmtId="0" xfId="0" applyAlignment="1" applyBorder="1" applyFill="1" applyFont="1">
      <alignment horizontal="center" shrinkToFit="0" vertical="center" wrapText="1"/>
    </xf>
    <xf borderId="6" fillId="15" fontId="15" numFmtId="0" xfId="0" applyAlignment="1" applyBorder="1" applyFill="1" applyFont="1">
      <alignment horizontal="left" shrinkToFit="0" vertical="center" wrapText="1"/>
    </xf>
    <xf borderId="5" fillId="12" fontId="2" numFmtId="0" xfId="0" applyAlignment="1" applyBorder="1" applyFill="1" applyFont="1">
      <alignment horizontal="center" shrinkToFit="0" vertical="center" wrapText="1"/>
    </xf>
    <xf borderId="5" fillId="13" fontId="2" numFmtId="0" xfId="0" applyAlignment="1" applyBorder="1" applyFill="1" applyFont="1">
      <alignment horizontal="center" shrinkToFit="0" vertical="center" wrapText="1"/>
    </xf>
    <xf borderId="0" fillId="13" fontId="2" numFmtId="0" xfId="0" applyAlignment="1" applyFill="1" applyFont="1">
      <alignment horizontal="center" readingOrder="0" shrinkToFit="0" vertical="center" wrapText="1"/>
    </xf>
    <xf borderId="5" fillId="16" fontId="16" numFmtId="0" xfId="0" applyAlignment="1" applyBorder="1" applyFill="1" applyFont="1">
      <alignment vertical="center"/>
    </xf>
    <xf borderId="5" fillId="17" fontId="16" numFmtId="0" xfId="0" applyAlignment="1" applyBorder="1" applyFill="1" applyFont="1">
      <alignment vertical="center"/>
    </xf>
    <xf borderId="5" fillId="14" fontId="16" numFmtId="0" xfId="0" applyAlignment="1" applyBorder="1" applyFill="1" applyFont="1">
      <alignment vertical="center"/>
    </xf>
    <xf borderId="1" fillId="7" fontId="6" numFmtId="0" xfId="0" applyAlignment="1" applyBorder="1" applyFill="1" applyFont="1">
      <alignment horizontal="center" vertical="center"/>
    </xf>
    <xf borderId="5" fillId="18" fontId="16" numFmtId="165" xfId="0" applyAlignment="1" applyBorder="1" applyFill="1" applyFont="1" applyNumberFormat="1">
      <alignment vertical="center"/>
    </xf>
    <xf borderId="5" fillId="19" fontId="16" numFmtId="0" xfId="0" applyAlignment="1" applyBorder="1" applyFill="1" applyFont="1">
      <alignment vertical="center"/>
    </xf>
    <xf borderId="5" fillId="20" fontId="16" numFmtId="0" xfId="0" applyAlignment="1" applyBorder="1" applyFill="1" applyFont="1">
      <alignment vertical="center"/>
    </xf>
    <xf borderId="5" fillId="20" fontId="16" numFmtId="0" xfId="0" applyAlignment="1" applyBorder="1" applyFill="1" applyFont="1">
      <alignment readingOrder="0" vertical="center"/>
    </xf>
    <xf borderId="5" fillId="21" fontId="16" numFmtId="0" xfId="0" applyAlignment="1" applyBorder="1" applyFill="1" applyFont="1">
      <alignment vertical="center"/>
    </xf>
    <xf borderId="0" fillId="21" fontId="16" numFmtId="0" xfId="0" applyAlignment="1" applyFill="1" applyFont="1">
      <alignment vertical="center"/>
    </xf>
    <xf borderId="5" fillId="0" fontId="16" numFmtId="0" xfId="0" applyAlignment="1" applyBorder="1" applyFont="1">
      <alignment vertical="center"/>
    </xf>
    <xf borderId="5" fillId="0" fontId="16" numFmtId="165" xfId="0" applyAlignment="1" applyBorder="1" applyFont="1" applyNumberFormat="1">
      <alignment vertical="center"/>
    </xf>
    <xf borderId="5" fillId="0" fontId="16" numFmtId="0" xfId="0" applyAlignment="1" applyBorder="1" applyFont="1">
      <alignment readingOrder="0" vertical="center"/>
    </xf>
    <xf borderId="1" fillId="5" fontId="13" numFmtId="0" xfId="0" applyAlignment="1" applyBorder="1" applyFill="1" applyFont="1">
      <alignment horizontal="center" vertical="center"/>
    </xf>
    <xf borderId="1" fillId="7" fontId="13" numFmtId="0" xfId="0" applyAlignment="1" applyBorder="1" applyFill="1" applyFont="1">
      <alignment horizontal="center" vertical="center"/>
    </xf>
    <xf borderId="6" fillId="15" fontId="15" numFmtId="165" xfId="0" applyAlignment="1" applyBorder="1" applyFill="1" applyFont="1" applyNumberFormat="1">
      <alignment horizontal="left" shrinkToFit="0" vertical="center" wrapText="1"/>
    </xf>
    <xf borderId="1" fillId="9" fontId="6" numFmtId="0" xfId="0" applyAlignment="1" applyBorder="1" applyFill="1" applyFont="1">
      <alignment horizontal="center" vertical="center"/>
    </xf>
    <xf borderId="5" fillId="20" fontId="16" numFmtId="166" xfId="0" applyAlignment="1" applyBorder="1" applyFill="1" applyFont="1" applyNumberFormat="1">
      <alignment readingOrder="0" vertical="center"/>
    </xf>
    <xf borderId="1" fillId="9" fontId="13" numFmtId="0" xfId="0" applyAlignment="1" applyBorder="1" applyFill="1" applyFont="1">
      <alignment horizontal="center" vertical="center"/>
    </xf>
    <xf borderId="1" fillId="12" fontId="13" numFmtId="0" xfId="0" applyAlignment="1" applyBorder="1" applyFill="1" applyFont="1">
      <alignment horizontal="center" vertical="center"/>
    </xf>
    <xf borderId="1" fillId="13" fontId="13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0" fillId="0" fontId="17" numFmtId="0" xfId="0" applyAlignment="1" applyFont="1">
      <alignment horizontal="center"/>
    </xf>
    <xf borderId="5" fillId="0" fontId="16" numFmtId="166" xfId="0" applyAlignment="1" applyBorder="1" applyFont="1" applyNumberFormat="1">
      <alignment readingOrder="0" vertical="center"/>
    </xf>
    <xf borderId="5" fillId="18" fontId="16" numFmtId="165" xfId="0" applyAlignment="1" applyBorder="1" applyFill="1" applyFont="1" applyNumberFormat="1">
      <alignment readingOrder="0" vertical="center"/>
    </xf>
    <xf borderId="0" fillId="0" fontId="16" numFmtId="0" xfId="0" applyAlignment="1" applyFont="1">
      <alignment readingOrder="0"/>
    </xf>
    <xf borderId="5" fillId="16" fontId="16" numFmtId="0" xfId="0" applyAlignment="1" applyBorder="1" applyFill="1" applyFont="1">
      <alignment readingOrder="0" vertical="center"/>
    </xf>
    <xf borderId="5" fillId="17" fontId="16" numFmtId="0" xfId="0" applyAlignment="1" applyBorder="1" applyFill="1" applyFont="1">
      <alignment readingOrder="0" vertical="center"/>
    </xf>
    <xf borderId="5" fillId="14" fontId="16" numFmtId="0" xfId="0" applyAlignment="1" applyBorder="1" applyFill="1" applyFont="1">
      <alignment readingOrder="0" vertical="center"/>
    </xf>
    <xf borderId="5" fillId="10" fontId="16" numFmtId="0" xfId="0" applyAlignment="1" applyBorder="1" applyFill="1" applyFont="1">
      <alignment readingOrder="0" vertical="center"/>
    </xf>
    <xf borderId="5" fillId="0" fontId="16" numFmtId="165" xfId="0" applyAlignment="1" applyBorder="1" applyFont="1" applyNumberFormat="1">
      <alignment readingOrder="0" vertical="center"/>
    </xf>
    <xf borderId="5" fillId="22" fontId="16" numFmtId="0" xfId="0" applyAlignment="1" applyBorder="1" applyFill="1" applyFont="1">
      <alignment readingOrder="0" vertical="center"/>
    </xf>
    <xf borderId="0" fillId="17" fontId="1" numFmtId="0" xfId="0" applyAlignment="1" applyFill="1" applyFont="1">
      <alignment readingOrder="0"/>
    </xf>
  </cellXfs>
  <cellStyles count="1">
    <cellStyle xfId="0" name="Normal" builtinId="0"/>
  </cellStyles>
  <dxfs count="3"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trike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9C6500"/>
        <name val="Arial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57"/>
    <col customWidth="1" min="3" max="3" width="36.0"/>
    <col customWidth="1" min="4" max="4" width="3.0"/>
    <col customWidth="1" min="5" max="5" width="30.0"/>
    <col customWidth="1" min="6" max="6" width="22.0"/>
    <col customWidth="1" min="7" max="7" width="36.0"/>
    <col customWidth="1" min="8" max="8" width="3.0"/>
    <col customWidth="1" min="9" max="10" width="10.0"/>
    <col customWidth="1" min="11" max="26" width="8.71"/>
  </cols>
  <sheetData>
    <row r="1">
      <c r="I1" s="4" t="s">
        <v>1</v>
      </c>
      <c r="J1" s="4">
        <f>IF(AND(E2="",E3=""),0,IFERROR(IF(E3&lt;&gt;"",MATCH(E3,'CADASTRO LOJAS'!B3:B230,0),IFERROR(MATCH(VALUE(E2),'CADASTRO LOJAS'!A3:A230,0),IFERROR(MATCH("*"&amp;SUBSTITUTE(SUBSTITUTE(SUBSTITUTE(SUBSTITUTE(E2,".",""),"/",""),"-","")," ","")&amp;"*",'CADASTRO LOJAS'!AK3:AK230,0),IFERROR(MATCH("*"&amp;E2&amp;"*",'CADASTRO LOJAS'!B3:B230,0),IFERROR(MATCH("*"&amp;E2&amp;"*",'CADASTRO LOJAS'!C3:C230,0),MATCH("*"&amp;E2&amp;"*",'CADASTRO LOJAS'!L3:L230,0)))))),0))</f>
        <v>9</v>
      </c>
    </row>
    <row r="2">
      <c r="B2" s="17" t="s">
        <v>69</v>
      </c>
      <c r="E2" s="18"/>
    </row>
    <row r="3">
      <c r="B3" s="21" t="s">
        <v>84</v>
      </c>
      <c r="E3" s="28" t="s">
        <v>118</v>
      </c>
      <c r="F3" s="29"/>
    </row>
    <row r="5">
      <c r="B5" s="31" t="s">
        <v>3</v>
      </c>
      <c r="C5" s="3"/>
      <c r="D5" s="6"/>
      <c r="F5" s="32" t="s">
        <v>20</v>
      </c>
      <c r="G5" s="3"/>
      <c r="H5" s="6"/>
    </row>
    <row r="6">
      <c r="B6" s="33" t="s">
        <v>150</v>
      </c>
      <c r="C6" s="37">
        <f t="array" ref="C6">IFERROR(IF($J$1=0,"—",IF(INDEX('CADASTRO LOJAS'!A:A,$J$1+2)="","—",INDEX('CADASTRO LOJAS'!A:A,$J$1+2))),"—")</f>
        <v>9</v>
      </c>
      <c r="F6" s="33" t="s">
        <v>193</v>
      </c>
      <c r="G6" s="37" t="str">
        <f t="array" ref="G6">IFERROR(IF($J$1=0,"—",IF(INDEX('CADASTRO LOJAS'!H:H,$J$1+2)="","—",INDEX('CADASTRO LOJAS'!H:H,$J$1+2))),"—")</f>
        <v>Avenida Andrômeda</v>
      </c>
    </row>
    <row r="7">
      <c r="B7" s="33" t="s">
        <v>225</v>
      </c>
      <c r="C7" s="37" t="str">
        <f t="array" ref="C7">IFERROR(IF($J$1=0,"—",IF(INDEX('CADASTRO LOJAS'!B:B,$J$1+2)="","—",INDEX('CADASTRO LOJAS'!B:B,$J$1+2))),"—")</f>
        <v>009 - Js</v>
      </c>
      <c r="F7" s="33" t="s">
        <v>238</v>
      </c>
      <c r="G7" s="37">
        <f t="array" ref="G7">IFERROR(IF($J$1=0,"—",IF(INDEX('CADASTRO LOJAS'!I:I,$J$1+2)="","—",INDEX('CADASTRO LOJAS'!I:I,$J$1+2))),"—")</f>
        <v>1868</v>
      </c>
    </row>
    <row r="8">
      <c r="B8" s="33" t="s">
        <v>261</v>
      </c>
      <c r="C8" s="37" t="str">
        <f t="array" ref="C8">IFERROR(IF($J$1=0,"—",IF(INDEX('CADASTRO LOJAS'!C:C,$J$1+2)="","—",INDEX('CADASTRO LOJAS'!C:C,$J$1+2))),"—")</f>
        <v>Oscar Calcados Ltda</v>
      </c>
      <c r="F8" s="33" t="s">
        <v>282</v>
      </c>
      <c r="G8" s="37" t="str">
        <f t="array" ref="G8">IFERROR(IF($J$1=0,"—",IF(INDEX('CADASTRO LOJAS'!K:K,$J$1+2)="","—",INDEX('CADASTRO LOJAS'!K:K,$J$1+2))),"—")</f>
        <v>Jardim Satélite</v>
      </c>
    </row>
    <row r="9">
      <c r="B9" s="33" t="s">
        <v>306</v>
      </c>
      <c r="C9" s="37" t="str">
        <f t="array" ref="C9">IFERROR(IF($J$1=0,"—",IF(INDEX('CADASTRO LOJAS'!D:D,$J$1+2)="","—",INDEX('CADASTRO LOJAS'!D:D,$J$1+2))),"—")</f>
        <v>50.915.875/0001-91</v>
      </c>
      <c r="F9" s="33" t="s">
        <v>320</v>
      </c>
      <c r="G9" s="37" t="str">
        <f t="array" ref="G9">IFERROR(IF($J$1=0,"—",IF(INDEX('CADASTRO LOJAS'!L:L,$J$1+2)="","—",INDEX('CADASTRO LOJAS'!L:L,$J$1+2))),"—")</f>
        <v>São José Dos Campos</v>
      </c>
    </row>
    <row r="10">
      <c r="B10" s="33" t="s">
        <v>338</v>
      </c>
      <c r="C10" s="37" t="str">
        <f t="array" ref="C10">IFERROR(IF($J$1=0,"—",IF(INDEX('CADASTRO LOJAS'!E:E,$J$1+2)="","—",INDEX('CADASTRO LOJAS'!E:E,$J$1+2))),"—")</f>
        <v>Aberta</v>
      </c>
      <c r="E10" s="29"/>
      <c r="F10" s="33" t="s">
        <v>360</v>
      </c>
      <c r="G10" s="37" t="str">
        <f t="array" ref="G10">IFERROR(IF($J$1=0,"—",IF(INDEX('CADASTRO LOJAS'!M:M,$J$1+2)="","—",INDEX('CADASTRO LOJAS'!M:M,$J$1+2))),"—")</f>
        <v>SP</v>
      </c>
    </row>
    <row r="11">
      <c r="B11" s="33" t="s">
        <v>378</v>
      </c>
      <c r="C11" s="37" t="str">
        <f t="array" ref="C11">IFERROR(IF($J$1=0,"—",IF(INDEX('CADASTRO LOJAS'!F:F,$J$1+2)="","—",INDEX('CADASTRO LOJAS'!F:F,$J$1+2))),"—")</f>
        <v>Grupo Oscar Calçados</v>
      </c>
      <c r="F11" s="33" t="s">
        <v>390</v>
      </c>
      <c r="G11" s="37" t="str">
        <f t="array" ref="G11">IFERROR(IF($J$1=0,"—",IF(INDEX('CADASTRO LOJAS'!N:N,$J$1+2)="","—",INDEX('CADASTRO LOJAS'!N:N,$J$1+2))),"—")</f>
        <v>12230-001</v>
      </c>
    </row>
    <row r="12">
      <c r="B12" s="33" t="s">
        <v>408</v>
      </c>
      <c r="C12" s="37" t="str">
        <f t="array" ref="C12">IFERROR(IF($J$1=0,"—",IF(INDEX('CADASTRO LOJAS'!G:G,$J$1+2)="","—",INDEX('CADASTRO LOJAS'!G:G,$J$1+2))),"—")</f>
        <v>Grupo F1</v>
      </c>
      <c r="F12" s="33" t="s">
        <v>425</v>
      </c>
      <c r="G12" s="37" t="str">
        <f t="array" ref="G12">IFERROR(IF($J$1=0,"—",IF(INDEX('CADASTRO LOJAS'!O:O,$J$1+2)="","—",INDEX('CADASTRO LOJAS'!O:O,$J$1+2))),"—")</f>
        <v>PETERSON</v>
      </c>
    </row>
    <row r="14">
      <c r="B14" s="54" t="s">
        <v>33</v>
      </c>
      <c r="C14" s="3"/>
      <c r="D14" s="6"/>
      <c r="F14" s="55" t="s">
        <v>48</v>
      </c>
      <c r="G14" s="3"/>
      <c r="H14" s="6"/>
    </row>
    <row r="15">
      <c r="B15" s="33" t="s">
        <v>457</v>
      </c>
      <c r="C15" s="37" t="str">
        <f t="array" ref="C15">IFERROR(IF($J$1=0,"—",IF(INDEX('CADASTRO LOJAS'!Q:Q,$J$1+2)="","—",INDEX('CADASTRO LOJAS'!Q:Q,$J$1+2))),"—")</f>
        <v>(12) 3932-0066</v>
      </c>
      <c r="F15" s="33" t="s">
        <v>516</v>
      </c>
      <c r="G15" s="56">
        <f t="array" ref="G15">IFERROR(IF($J$1=0,"—",IF(INDEX('CADASTRO LOJAS'!U:U,$J$1+2)="","—",INDEX('CADASTRO LOJAS'!U:U,$J$1+2))),"—")</f>
        <v>0.375</v>
      </c>
    </row>
    <row r="16">
      <c r="B16" s="33" t="s">
        <v>572</v>
      </c>
      <c r="C16" s="37" t="str">
        <f t="array" ref="C16">IFERROR(IF($J$1=0,"—",IF(INDEX('CADASTRO LOJAS'!R:R,$J$1+2)="","—",INDEX('CADASTRO LOJAS'!R:R,$J$1+2))),"—")</f>
        <v>(12) 97404-1272</v>
      </c>
      <c r="F16" s="33" t="s">
        <v>649</v>
      </c>
      <c r="G16" s="56">
        <f t="array" ref="G16">IFERROR(IF($J$1=0,"—",IF(INDEX('CADASTRO LOJAS'!V:V,$J$1+2)="","—",INDEX('CADASTRO LOJAS'!V:V,$J$1+2))),"—")</f>
        <v>0.7916666667</v>
      </c>
    </row>
    <row r="17">
      <c r="B17" s="33" t="s">
        <v>703</v>
      </c>
      <c r="C17" s="37" t="str">
        <f t="array" ref="C17">IFERROR(IF($J$1=0,"—",IF(INDEX('CADASTRO LOJAS'!S:S,$J$1+2)="","—",INDEX('CADASTRO LOJAS'!S:S,$J$1+2))),"—")</f>
        <v>loja009@oscarcalcados.com.br</v>
      </c>
    </row>
    <row r="18">
      <c r="B18" s="33" t="s">
        <v>735</v>
      </c>
      <c r="C18" s="37" t="str">
        <f t="array" ref="C18">IFERROR(IF($J$1=0,"—",IF(INDEX('CADASTRO LOJAS'!T:T,$J$1+2)="","—",INDEX('CADASTRO LOJAS'!T:T,$J$1+2))),"—")</f>
        <v>gerente009@oscarcalcados.com.br</v>
      </c>
    </row>
    <row r="19">
      <c r="B19" s="33" t="s">
        <v>752</v>
      </c>
      <c r="C19" s="37" t="str">
        <f t="array" ref="C19">IFERROR(IF($J$1=0,"—",IF(INDEX('CADASTRO LOJAS'!P:P,$J$1+2)="","—",INDEX('CADASTRO LOJAS'!P:P,$J$1+2))),"—")</f>
        <v>ERICSON</v>
      </c>
    </row>
    <row r="21" ht="15.75" customHeight="1">
      <c r="B21" s="59" t="s">
        <v>61</v>
      </c>
      <c r="C21" s="3"/>
      <c r="D21" s="6"/>
      <c r="F21" s="60" t="s">
        <v>79</v>
      </c>
      <c r="G21" s="3"/>
      <c r="H21" s="6"/>
    </row>
    <row r="22" ht="15.75" customHeight="1">
      <c r="B22" s="33" t="s">
        <v>785</v>
      </c>
      <c r="C22" s="37" t="str">
        <f t="array" ref="C22">IFERROR(IF($J$1=0,"—",IF(INDEX('CADASTRO LOJAS'!W:W,$J$1+2)="","—",INDEX('CADASTRO LOJAS'!W:W,$J$1+2))),"—")</f>
        <v>—</v>
      </c>
      <c r="F22" s="33" t="s">
        <v>800</v>
      </c>
      <c r="G22" s="37" t="str">
        <f t="array" ref="G22">IFERROR(IF($J$1=0,"—",IF(INDEX('CADASTRO LOJAS'!AD:AD,$J$1+2)="","—",INDEX('CADASTRO LOJAS'!AD:AD,$J$1+2))),"—")</f>
        <v>—</v>
      </c>
    </row>
    <row r="23" ht="15.75" customHeight="1">
      <c r="B23" s="33" t="s">
        <v>813</v>
      </c>
      <c r="C23" s="37" t="str">
        <f t="array" ref="C23">IFERROR(IF($J$1=0,"—",IF(INDEX('CADASTRO LOJAS'!X:X,$J$1+2)="","—",INDEX('CADASTRO LOJAS'!X:X,$J$1+2))),"—")</f>
        <v>—</v>
      </c>
      <c r="F23" s="33" t="s">
        <v>828</v>
      </c>
      <c r="G23" s="37" t="str">
        <f t="array" ref="G23">IFERROR(IF($J$1=0,"—",IF(INDEX('CADASTRO LOJAS'!AE:AE,$J$1+2)="","—",INDEX('CADASTRO LOJAS'!AE:AE,$J$1+2))),"—")</f>
        <v>—</v>
      </c>
    </row>
    <row r="24" ht="15.75" customHeight="1">
      <c r="B24" s="33" t="s">
        <v>847</v>
      </c>
      <c r="C24" s="37" t="str">
        <f t="array" ref="C24">IFERROR(IF($J$1=0,"—",IF(INDEX('CADASTRO LOJAS'!Y:Y,$J$1+2)="","—",INDEX('CADASTRO LOJAS'!Y:Y,$J$1+2))),"—")</f>
        <v>—</v>
      </c>
      <c r="F24" s="33" t="s">
        <v>863</v>
      </c>
      <c r="G24" s="37" t="str">
        <f t="array" ref="G24">IFERROR(IF($J$1=0,"—",IF(INDEX('CADASTRO LOJAS'!AF:AF,$J$1+2)="","—",INDEX('CADASTRO LOJAS'!AF:AF,$J$1+2))),"—")</f>
        <v>—</v>
      </c>
    </row>
    <row r="25" ht="15.75" customHeight="1">
      <c r="B25" s="33" t="s">
        <v>877</v>
      </c>
      <c r="C25" s="37" t="str">
        <f t="array" ref="C25">IFERROR(IF($J$1=0,"—",IF(INDEX('CADASTRO LOJAS'!Z:Z,$J$1+2)="","—",INDEX('CADASTRO LOJAS'!Z:Z,$J$1+2))),"—")</f>
        <v>—</v>
      </c>
      <c r="F25" s="33" t="s">
        <v>902</v>
      </c>
      <c r="G25" s="37" t="str">
        <f t="array" ref="G25">IFERROR(IF($J$1=0,"—",IF(INDEX('CADASTRO LOJAS'!AG:AG,$J$1+2)="","—",INDEX('CADASTRO LOJAS'!AG:AG,$J$1+2))),"—")</f>
        <v>Beta</v>
      </c>
    </row>
    <row r="26" ht="15.75" customHeight="1">
      <c r="B26" s="33" t="s">
        <v>925</v>
      </c>
      <c r="C26" s="37" t="str">
        <f t="array" ref="C26">IFERROR(IF($J$1=0,"—",IF(INDEX('CADASTRO LOJAS'!AA:AA,$J$1+2)="","—",INDEX('CADASTRO LOJAS'!AA:AA,$J$1+2))),"—")</f>
        <v>—</v>
      </c>
      <c r="F26" s="33" t="s">
        <v>947</v>
      </c>
      <c r="G26" s="37" t="str">
        <f t="array" ref="G26">IFERROR(IF($J$1=0,"—",IF(INDEX('CADASTRO LOJAS'!AH:AH,$J$1+2)="","—",INDEX('CADASTRO LOJAS'!AH:AH,$J$1+2))),"—")</f>
        <v>—</v>
      </c>
    </row>
    <row r="27" ht="15.75" customHeight="1">
      <c r="B27" s="33" t="s">
        <v>984</v>
      </c>
      <c r="C27" s="37" t="str">
        <f t="array" ref="C27">IFERROR(IF($J$1=0,"—",IF(INDEX('CADASTRO LOJAS'!AB:AB,$J$1+2)="","—",INDEX('CADASTRO LOJAS'!AB:AB,$J$1+2))),"—")</f>
        <v>—</v>
      </c>
      <c r="F27" s="33" t="s">
        <v>1004</v>
      </c>
      <c r="G27" s="37" t="str">
        <f t="array" ref="G27">IFERROR(IF($J$1=0,"—",IF(INDEX('CADASTRO LOJAS'!AJ:AJ,$J$1+2)="","—",INDEX('CADASTRO LOJAS'!AJ:AJ,$J$1+2))),"—")</f>
        <v>Última validação:</v>
      </c>
    </row>
    <row r="28" ht="15.75" customHeight="1">
      <c r="B28" s="33" t="s">
        <v>1024</v>
      </c>
      <c r="C28" s="37" t="str">
        <f t="array" ref="C28">IFERROR(IF($J$1=0,"—",IF(INDEX('CADASTRO LOJAS'!AC:AC,$J$1+2)="","—",INDEX('CADASTRO LOJAS'!AC:AC,$J$1+2))),"—")</f>
        <v>—</v>
      </c>
    </row>
    <row r="29" ht="15.75" customHeight="1"/>
    <row r="30" ht="15.75" customHeight="1">
      <c r="B30" s="61" t="s">
        <v>100</v>
      </c>
      <c r="C30" s="3"/>
      <c r="D30" s="3"/>
      <c r="E30" s="3"/>
      <c r="F30" s="3"/>
      <c r="G30" s="3"/>
      <c r="H30" s="6"/>
    </row>
    <row r="31" ht="60.0" customHeight="1">
      <c r="B31" s="33" t="s">
        <v>1062</v>
      </c>
      <c r="C31" s="37" t="str">
        <f t="array" ref="C31">IFERROR(IF($J$1=0,"—",IF(INDEX('CADASTRO LOJAS'!AI:AI,$J$1+2)="","—",INDEX('CADASTRO LOJAS'!AI:AI,$J$1+2))),"—")</f>
        <v>—</v>
      </c>
      <c r="D31" s="62"/>
      <c r="E31" s="62"/>
      <c r="F31" s="62"/>
      <c r="G31" s="62"/>
      <c r="H31" s="63"/>
    </row>
    <row r="32" ht="15.75" customHeight="1"/>
    <row r="33" ht="15.75" customHeight="1">
      <c r="B33" s="64" t="str">
        <f>IF($J$1=0,IF(AND(E2="",E3=""),"↑ Digite o código ou selecione uma loja acima.","⚠️ Loja não encontrada. Verifique o código ou nome."),"✅ Loja encontrada — dados exibidos acima.")</f>
        <v>✅ Loja encontrada — dados exibidos acima.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1:H31"/>
    <mergeCell ref="B33:H33"/>
    <mergeCell ref="B5:D5"/>
    <mergeCell ref="F5:H5"/>
    <mergeCell ref="B14:D14"/>
    <mergeCell ref="F14:H14"/>
    <mergeCell ref="B21:D21"/>
    <mergeCell ref="F21:H21"/>
    <mergeCell ref="B30:H30"/>
  </mergeCells>
  <dataValidations>
    <dataValidation type="list" allowBlank="1" showErrorMessage="1" sqref="E3">
      <formula1>'CADASTRO LOJAS'!$B$3:$B$230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32.0"/>
    <col customWidth="1" min="4" max="4" width="22.0"/>
    <col customWidth="1" min="5" max="5" width="12.0"/>
    <col customWidth="1" min="6" max="6" width="22.0"/>
    <col customWidth="1" min="7" max="7" width="18.0"/>
    <col customWidth="1" min="8" max="8" width="32.0"/>
    <col customWidth="1" min="9" max="9" width="8.0"/>
    <col customWidth="1" min="10" max="10" width="32.0"/>
    <col customWidth="1" min="11" max="12" width="20.0"/>
    <col customWidth="1" min="13" max="13" width="5.0"/>
    <col customWidth="1" min="14" max="14" width="12.0"/>
    <col customWidth="1" min="15" max="15" width="14.0"/>
    <col customWidth="1" min="16" max="18" width="18.0"/>
    <col customWidth="1" min="19" max="19" width="32.0"/>
    <col customWidth="1" min="20" max="20" width="32.71"/>
    <col customWidth="1" min="21" max="21" width="12.0"/>
    <col customWidth="1" min="22" max="22" width="14.0"/>
    <col customWidth="1" min="23" max="24" width="15.0"/>
    <col customWidth="1" min="25" max="26" width="14.0"/>
    <col customWidth="1" min="27" max="28" width="10.0"/>
    <col customWidth="1" min="29" max="29" width="22.0"/>
    <col customWidth="1" min="30" max="32" width="15.0"/>
    <col customWidth="1" min="33" max="33" width="20.0"/>
    <col customWidth="1" min="34" max="34" width="15.0"/>
    <col customWidth="1" min="35" max="35" width="35.0"/>
    <col customWidth="1" min="36" max="36" width="15.57"/>
    <col customWidth="1" hidden="1" min="37" max="37" width="16.0"/>
  </cols>
  <sheetData>
    <row r="1" ht="21.75" customHeight="1">
      <c r="A1" s="2" t="s">
        <v>3</v>
      </c>
      <c r="B1" s="3"/>
      <c r="C1" s="3"/>
      <c r="D1" s="3"/>
      <c r="E1" s="3"/>
      <c r="F1" s="3"/>
      <c r="G1" s="6"/>
      <c r="H1" s="9" t="s">
        <v>20</v>
      </c>
      <c r="I1" s="3"/>
      <c r="J1" s="3"/>
      <c r="K1" s="3"/>
      <c r="L1" s="3"/>
      <c r="M1" s="3"/>
      <c r="N1" s="3"/>
      <c r="O1" s="3"/>
      <c r="P1" s="6"/>
      <c r="Q1" s="11" t="s">
        <v>33</v>
      </c>
      <c r="R1" s="3"/>
      <c r="S1" s="3"/>
      <c r="T1" s="6"/>
      <c r="U1" s="14" t="s">
        <v>48</v>
      </c>
      <c r="V1" s="6"/>
      <c r="W1" s="16" t="s">
        <v>61</v>
      </c>
      <c r="X1" s="3"/>
      <c r="Y1" s="3"/>
      <c r="Z1" s="3"/>
      <c r="AA1" s="3"/>
      <c r="AB1" s="3"/>
      <c r="AC1" s="6"/>
      <c r="AD1" s="20" t="s">
        <v>79</v>
      </c>
      <c r="AE1" s="3"/>
      <c r="AF1" s="3"/>
      <c r="AG1" s="3"/>
      <c r="AH1" s="6"/>
      <c r="AI1" s="24" t="s">
        <v>100</v>
      </c>
      <c r="AJ1" s="6"/>
      <c r="AK1" s="26"/>
    </row>
    <row r="2" ht="42.0" customHeight="1">
      <c r="A2" s="27" t="s">
        <v>115</v>
      </c>
      <c r="B2" s="27" t="s">
        <v>120</v>
      </c>
      <c r="C2" s="27" t="s">
        <v>123</v>
      </c>
      <c r="D2" s="27" t="s">
        <v>18</v>
      </c>
      <c r="E2" s="27" t="s">
        <v>11</v>
      </c>
      <c r="F2" s="27" t="s">
        <v>131</v>
      </c>
      <c r="G2" s="27" t="s">
        <v>132</v>
      </c>
      <c r="H2" s="30" t="s">
        <v>135</v>
      </c>
      <c r="I2" s="30" t="s">
        <v>14</v>
      </c>
      <c r="J2" s="30" t="s">
        <v>142</v>
      </c>
      <c r="K2" s="30" t="s">
        <v>144</v>
      </c>
      <c r="L2" s="30" t="s">
        <v>16</v>
      </c>
      <c r="M2" s="30" t="s">
        <v>17</v>
      </c>
      <c r="N2" s="30" t="s">
        <v>12</v>
      </c>
      <c r="O2" s="30" t="s">
        <v>151</v>
      </c>
      <c r="P2" s="30" t="s">
        <v>24</v>
      </c>
      <c r="Q2" s="34" t="s">
        <v>156</v>
      </c>
      <c r="R2" s="34" t="s">
        <v>163</v>
      </c>
      <c r="S2" s="34" t="s">
        <v>164</v>
      </c>
      <c r="T2" s="34" t="s">
        <v>167</v>
      </c>
      <c r="U2" s="35" t="s">
        <v>170</v>
      </c>
      <c r="V2" s="35" t="s">
        <v>175</v>
      </c>
      <c r="W2" s="36" t="s">
        <v>178</v>
      </c>
      <c r="X2" s="36" t="s">
        <v>180</v>
      </c>
      <c r="Y2" s="36" t="s">
        <v>183</v>
      </c>
      <c r="Z2" s="36" t="s">
        <v>184</v>
      </c>
      <c r="AA2" s="36" t="s">
        <v>187</v>
      </c>
      <c r="AB2" s="36" t="s">
        <v>189</v>
      </c>
      <c r="AC2" s="36" t="s">
        <v>191</v>
      </c>
      <c r="AD2" s="38" t="s">
        <v>196</v>
      </c>
      <c r="AE2" s="38" t="s">
        <v>200</v>
      </c>
      <c r="AF2" s="38" t="s">
        <v>201</v>
      </c>
      <c r="AG2" s="38" t="s">
        <v>203</v>
      </c>
      <c r="AH2" s="38" t="s">
        <v>204</v>
      </c>
      <c r="AI2" s="39" t="s">
        <v>205</v>
      </c>
      <c r="AJ2" s="39" t="s">
        <v>206</v>
      </c>
      <c r="AK2" s="40" t="s">
        <v>207</v>
      </c>
    </row>
    <row r="3">
      <c r="A3" s="41">
        <v>1.0</v>
      </c>
      <c r="B3" s="41" t="s">
        <v>34</v>
      </c>
      <c r="C3" s="41" t="s">
        <v>217</v>
      </c>
      <c r="D3" s="41" t="s">
        <v>42</v>
      </c>
      <c r="E3" s="41" t="s">
        <v>252</v>
      </c>
      <c r="F3" s="41" t="s">
        <v>254</v>
      </c>
      <c r="G3" s="41" t="s">
        <v>173</v>
      </c>
      <c r="H3" s="42" t="s">
        <v>258</v>
      </c>
      <c r="I3" s="42">
        <v>344.0</v>
      </c>
      <c r="J3" s="42" t="s">
        <v>37</v>
      </c>
      <c r="K3" s="42" t="s">
        <v>39</v>
      </c>
      <c r="L3" s="42" t="s">
        <v>271</v>
      </c>
      <c r="M3" s="42" t="s">
        <v>41</v>
      </c>
      <c r="N3" s="42" t="s">
        <v>294</v>
      </c>
      <c r="O3" s="42" t="s">
        <v>295</v>
      </c>
      <c r="P3" s="42" t="s">
        <v>298</v>
      </c>
      <c r="Q3" s="43" t="s">
        <v>44</v>
      </c>
      <c r="R3" s="43" t="s">
        <v>45</v>
      </c>
      <c r="S3" s="43" t="s">
        <v>49</v>
      </c>
      <c r="T3" s="43" t="s">
        <v>50</v>
      </c>
      <c r="U3" s="45">
        <v>0.375</v>
      </c>
      <c r="V3" s="45">
        <v>0.7916666666666666</v>
      </c>
      <c r="W3" s="46"/>
      <c r="X3" s="46"/>
      <c r="Y3" s="46"/>
      <c r="Z3" s="46"/>
      <c r="AA3" s="46"/>
      <c r="AB3" s="46"/>
      <c r="AC3" s="46"/>
      <c r="AD3" s="47"/>
      <c r="AE3" s="47"/>
      <c r="AF3" s="47"/>
      <c r="AG3" s="48" t="s">
        <v>342</v>
      </c>
      <c r="AH3" s="47"/>
      <c r="AI3" s="49"/>
      <c r="AJ3" s="49" t="s">
        <v>357</v>
      </c>
      <c r="AK3" s="50" t="str">
        <f>IFERROR(__xludf.DUMMYFUNCTION("ARRAYFORMULA(IF(D3:D230="""","""",REGEXREPLACE(D3:D230&amp;"""",""[^0-9]"","""")))"),"50915875001244")</f>
        <v>50915875001244</v>
      </c>
    </row>
    <row r="4">
      <c r="A4" s="51">
        <v>2.0</v>
      </c>
      <c r="B4" s="51" t="s">
        <v>52</v>
      </c>
      <c r="C4" s="51" t="s">
        <v>387</v>
      </c>
      <c r="D4" s="51" t="s">
        <v>58</v>
      </c>
      <c r="E4" s="51" t="s">
        <v>252</v>
      </c>
      <c r="F4" s="51" t="s">
        <v>254</v>
      </c>
      <c r="G4" s="51" t="s">
        <v>288</v>
      </c>
      <c r="H4" s="51" t="s">
        <v>55</v>
      </c>
      <c r="I4" s="51">
        <v>905.0</v>
      </c>
      <c r="J4" s="51" t="s">
        <v>55</v>
      </c>
      <c r="K4" s="51" t="s">
        <v>57</v>
      </c>
      <c r="L4" s="51" t="s">
        <v>271</v>
      </c>
      <c r="M4" s="51" t="s">
        <v>41</v>
      </c>
      <c r="N4" s="51" t="s">
        <v>403</v>
      </c>
      <c r="O4" s="51" t="s">
        <v>295</v>
      </c>
      <c r="P4" s="51" t="s">
        <v>298</v>
      </c>
      <c r="Q4" s="51" t="s">
        <v>59</v>
      </c>
      <c r="R4" s="51" t="s">
        <v>407</v>
      </c>
      <c r="S4" s="51" t="s">
        <v>62</v>
      </c>
      <c r="T4" s="51" t="s">
        <v>63</v>
      </c>
      <c r="U4" s="52">
        <v>0.375</v>
      </c>
      <c r="V4" s="52">
        <v>0.7916666666666666</v>
      </c>
      <c r="W4" s="51"/>
      <c r="X4" s="51"/>
      <c r="Y4" s="51"/>
      <c r="Z4" s="51"/>
      <c r="AA4" s="51"/>
      <c r="AB4" s="51"/>
      <c r="AC4" s="51"/>
      <c r="AD4" s="51"/>
      <c r="AE4" s="51"/>
      <c r="AF4" s="51"/>
      <c r="AG4" s="53" t="s">
        <v>427</v>
      </c>
      <c r="AH4" s="51"/>
      <c r="AI4" s="51"/>
      <c r="AJ4" s="51" t="s">
        <v>357</v>
      </c>
      <c r="AK4" s="50" t="str">
        <f>IFERROR(__xludf.DUMMYFUNCTION("""COMPUTED_VALUE"""),"54237938000159")</f>
        <v>54237938000159</v>
      </c>
    </row>
    <row r="5">
      <c r="A5" s="41">
        <v>3.0</v>
      </c>
      <c r="B5" s="41" t="s">
        <v>64</v>
      </c>
      <c r="C5" s="41" t="s">
        <v>217</v>
      </c>
      <c r="D5" s="41" t="s">
        <v>66</v>
      </c>
      <c r="E5" s="41" t="s">
        <v>252</v>
      </c>
      <c r="F5" s="41" t="s">
        <v>254</v>
      </c>
      <c r="G5" s="41" t="s">
        <v>173</v>
      </c>
      <c r="H5" s="42" t="s">
        <v>258</v>
      </c>
      <c r="I5" s="42">
        <v>142.0</v>
      </c>
      <c r="J5" s="42" t="s">
        <v>37</v>
      </c>
      <c r="K5" s="42" t="s">
        <v>39</v>
      </c>
      <c r="L5" s="42" t="s">
        <v>271</v>
      </c>
      <c r="M5" s="42" t="s">
        <v>41</v>
      </c>
      <c r="N5" s="42" t="s">
        <v>294</v>
      </c>
      <c r="O5" s="42" t="s">
        <v>295</v>
      </c>
      <c r="P5" s="42" t="s">
        <v>298</v>
      </c>
      <c r="Q5" s="43" t="s">
        <v>67</v>
      </c>
      <c r="R5" s="43" t="s">
        <v>454</v>
      </c>
      <c r="S5" s="43" t="s">
        <v>70</v>
      </c>
      <c r="T5" s="43" t="s">
        <v>71</v>
      </c>
      <c r="U5" s="45">
        <v>0.375</v>
      </c>
      <c r="V5" s="45">
        <v>0.7916666666666666</v>
      </c>
      <c r="W5" s="46"/>
      <c r="X5" s="46"/>
      <c r="Y5" s="46"/>
      <c r="Z5" s="46"/>
      <c r="AA5" s="46"/>
      <c r="AB5" s="46"/>
      <c r="AC5" s="46"/>
      <c r="AD5" s="47"/>
      <c r="AE5" s="47"/>
      <c r="AF5" s="47"/>
      <c r="AG5" s="48" t="s">
        <v>342</v>
      </c>
      <c r="AH5" s="47"/>
      <c r="AI5" s="49"/>
      <c r="AJ5" s="49" t="s">
        <v>357</v>
      </c>
      <c r="AK5" s="50" t="str">
        <f>IFERROR(__xludf.DUMMYFUNCTION("""COMPUTED_VALUE"""),"50915875001325")</f>
        <v>50915875001325</v>
      </c>
    </row>
    <row r="6">
      <c r="A6" s="51">
        <v>4.0</v>
      </c>
      <c r="B6" s="51" t="s">
        <v>475</v>
      </c>
      <c r="C6" s="51" t="s">
        <v>217</v>
      </c>
      <c r="D6" s="51" t="s">
        <v>78</v>
      </c>
      <c r="E6" s="51" t="s">
        <v>252</v>
      </c>
      <c r="F6" s="51" t="s">
        <v>254</v>
      </c>
      <c r="G6" s="51" t="s">
        <v>173</v>
      </c>
      <c r="H6" s="51" t="s">
        <v>482</v>
      </c>
      <c r="I6" s="51">
        <v>141.0</v>
      </c>
      <c r="J6" s="51" t="s">
        <v>75</v>
      </c>
      <c r="K6" s="51" t="s">
        <v>39</v>
      </c>
      <c r="L6" s="51" t="s">
        <v>77</v>
      </c>
      <c r="M6" s="51" t="s">
        <v>41</v>
      </c>
      <c r="N6" s="51" t="s">
        <v>490</v>
      </c>
      <c r="O6" s="51" t="s">
        <v>466</v>
      </c>
      <c r="P6" s="51" t="s">
        <v>298</v>
      </c>
      <c r="Q6" s="51" t="s">
        <v>80</v>
      </c>
      <c r="R6" s="51" t="s">
        <v>494</v>
      </c>
      <c r="S6" s="51" t="s">
        <v>82</v>
      </c>
      <c r="T6" s="51" t="s">
        <v>83</v>
      </c>
      <c r="U6" s="52">
        <v>0.375</v>
      </c>
      <c r="V6" s="52">
        <v>0.7916666666666666</v>
      </c>
      <c r="W6" s="51"/>
      <c r="X6" s="51"/>
      <c r="Y6" s="51"/>
      <c r="Z6" s="51"/>
      <c r="AA6" s="51"/>
      <c r="AB6" s="51"/>
      <c r="AC6" s="51"/>
      <c r="AD6" s="51"/>
      <c r="AE6" s="51"/>
      <c r="AF6" s="51"/>
      <c r="AG6" s="53" t="s">
        <v>342</v>
      </c>
      <c r="AH6" s="51"/>
      <c r="AI6" s="51"/>
      <c r="AJ6" s="51" t="s">
        <v>357</v>
      </c>
      <c r="AK6" s="50" t="str">
        <f>IFERROR(__xludf.DUMMYFUNCTION("""COMPUTED_VALUE"""),"50915875001406")</f>
        <v>50915875001406</v>
      </c>
    </row>
    <row r="7">
      <c r="A7" s="41">
        <v>5.0</v>
      </c>
      <c r="B7" s="41" t="s">
        <v>85</v>
      </c>
      <c r="C7" s="41" t="s">
        <v>513</v>
      </c>
      <c r="D7" s="41" t="s">
        <v>89</v>
      </c>
      <c r="E7" s="41" t="s">
        <v>252</v>
      </c>
      <c r="F7" s="41" t="s">
        <v>254</v>
      </c>
      <c r="G7" s="41" t="s">
        <v>288</v>
      </c>
      <c r="H7" s="42" t="s">
        <v>87</v>
      </c>
      <c r="I7" s="42">
        <v>79.0</v>
      </c>
      <c r="J7" s="42" t="s">
        <v>87</v>
      </c>
      <c r="K7" s="42" t="s">
        <v>39</v>
      </c>
      <c r="L7" s="42" t="s">
        <v>77</v>
      </c>
      <c r="M7" s="42" t="s">
        <v>41</v>
      </c>
      <c r="N7" s="42" t="s">
        <v>525</v>
      </c>
      <c r="O7" s="42" t="s">
        <v>466</v>
      </c>
      <c r="P7" s="42" t="s">
        <v>298</v>
      </c>
      <c r="Q7" s="43" t="s">
        <v>91</v>
      </c>
      <c r="R7" s="43" t="s">
        <v>528</v>
      </c>
      <c r="S7" s="43" t="s">
        <v>93</v>
      </c>
      <c r="T7" s="43" t="s">
        <v>94</v>
      </c>
      <c r="U7" s="45">
        <v>0.375</v>
      </c>
      <c r="V7" s="45">
        <v>0.7916666666666666</v>
      </c>
      <c r="W7" s="46"/>
      <c r="X7" s="46"/>
      <c r="Y7" s="46"/>
      <c r="Z7" s="46"/>
      <c r="AA7" s="46"/>
      <c r="AB7" s="46"/>
      <c r="AC7" s="46"/>
      <c r="AD7" s="47"/>
      <c r="AE7" s="47"/>
      <c r="AF7" s="47"/>
      <c r="AG7" s="48" t="s">
        <v>342</v>
      </c>
      <c r="AH7" s="47"/>
      <c r="AI7" s="49"/>
      <c r="AJ7" s="49" t="s">
        <v>357</v>
      </c>
      <c r="AK7" s="50" t="str">
        <f>IFERROR(__xludf.DUMMYFUNCTION("""COMPUTED_VALUE"""),"72014681000158")</f>
        <v>72014681000158</v>
      </c>
    </row>
    <row r="8">
      <c r="A8" s="51">
        <v>6.0</v>
      </c>
      <c r="B8" s="51" t="s">
        <v>95</v>
      </c>
      <c r="C8" s="51" t="s">
        <v>217</v>
      </c>
      <c r="D8" s="51" t="s">
        <v>101</v>
      </c>
      <c r="E8" s="51" t="s">
        <v>252</v>
      </c>
      <c r="F8" s="51" t="s">
        <v>254</v>
      </c>
      <c r="G8" s="51" t="s">
        <v>173</v>
      </c>
      <c r="H8" s="51" t="s">
        <v>98</v>
      </c>
      <c r="I8" s="51">
        <v>9403.0</v>
      </c>
      <c r="J8" s="51" t="s">
        <v>98</v>
      </c>
      <c r="K8" s="51" t="s">
        <v>546</v>
      </c>
      <c r="L8" s="51" t="s">
        <v>271</v>
      </c>
      <c r="M8" s="51" t="s">
        <v>41</v>
      </c>
      <c r="N8" s="51" t="s">
        <v>548</v>
      </c>
      <c r="O8" s="51" t="s">
        <v>295</v>
      </c>
      <c r="P8" s="51" t="s">
        <v>298</v>
      </c>
      <c r="Q8" s="51" t="s">
        <v>102</v>
      </c>
      <c r="R8" s="51" t="s">
        <v>555</v>
      </c>
      <c r="S8" s="51" t="s">
        <v>104</v>
      </c>
      <c r="T8" s="51" t="s">
        <v>106</v>
      </c>
      <c r="U8" s="52">
        <v>0.4166666666666667</v>
      </c>
      <c r="V8" s="52">
        <v>0.9166666666666666</v>
      </c>
      <c r="W8" s="51"/>
      <c r="X8" s="51"/>
      <c r="Y8" s="51"/>
      <c r="Z8" s="51"/>
      <c r="AA8" s="51"/>
      <c r="AB8" s="51"/>
      <c r="AC8" s="51"/>
      <c r="AD8" s="51"/>
      <c r="AE8" s="51"/>
      <c r="AF8" s="51"/>
      <c r="AG8" s="53" t="s">
        <v>342</v>
      </c>
      <c r="AH8" s="51"/>
      <c r="AI8" s="51"/>
      <c r="AJ8" s="51" t="s">
        <v>357</v>
      </c>
      <c r="AK8" s="50" t="str">
        <f>IFERROR(__xludf.DUMMYFUNCTION("""COMPUTED_VALUE"""),"50915875000434")</f>
        <v>50915875000434</v>
      </c>
    </row>
    <row r="9">
      <c r="A9" s="41">
        <v>7.0</v>
      </c>
      <c r="B9" s="41" t="s">
        <v>107</v>
      </c>
      <c r="C9" s="41" t="s">
        <v>217</v>
      </c>
      <c r="D9" s="41" t="s">
        <v>112</v>
      </c>
      <c r="E9" s="41" t="s">
        <v>252</v>
      </c>
      <c r="F9" s="41" t="s">
        <v>254</v>
      </c>
      <c r="G9" s="41" t="s">
        <v>173</v>
      </c>
      <c r="H9" s="42" t="s">
        <v>109</v>
      </c>
      <c r="I9" s="42">
        <v>2200.0</v>
      </c>
      <c r="J9" s="42" t="s">
        <v>109</v>
      </c>
      <c r="K9" s="42" t="s">
        <v>576</v>
      </c>
      <c r="L9" s="42" t="s">
        <v>271</v>
      </c>
      <c r="M9" s="42" t="s">
        <v>41</v>
      </c>
      <c r="N9" s="42" t="s">
        <v>540</v>
      </c>
      <c r="O9" s="42" t="s">
        <v>484</v>
      </c>
      <c r="P9" s="42" t="s">
        <v>298</v>
      </c>
      <c r="Q9" s="43" t="s">
        <v>113</v>
      </c>
      <c r="R9" s="43" t="s">
        <v>582</v>
      </c>
      <c r="S9" s="43" t="s">
        <v>116</v>
      </c>
      <c r="T9" s="43" t="s">
        <v>117</v>
      </c>
      <c r="U9" s="45">
        <v>0.4166666666666667</v>
      </c>
      <c r="V9" s="45">
        <v>0.9166666666666666</v>
      </c>
      <c r="W9" s="46"/>
      <c r="X9" s="46"/>
      <c r="Y9" s="46"/>
      <c r="Z9" s="46"/>
      <c r="AA9" s="46"/>
      <c r="AB9" s="46"/>
      <c r="AC9" s="46"/>
      <c r="AD9" s="47"/>
      <c r="AE9" s="47"/>
      <c r="AF9" s="47"/>
      <c r="AG9" s="48" t="s">
        <v>342</v>
      </c>
      <c r="AH9" s="47"/>
      <c r="AI9" s="49"/>
      <c r="AJ9" s="49" t="s">
        <v>357</v>
      </c>
      <c r="AK9" s="50" t="str">
        <f>IFERROR(__xludf.DUMMYFUNCTION("""COMPUTED_VALUE"""),"50915875000353")</f>
        <v>50915875000353</v>
      </c>
    </row>
    <row r="10">
      <c r="A10" s="51">
        <v>8.0</v>
      </c>
      <c r="B10" s="51" t="s">
        <v>119</v>
      </c>
      <c r="C10" s="51" t="s">
        <v>217</v>
      </c>
      <c r="D10" s="51" t="s">
        <v>596</v>
      </c>
      <c r="E10" s="51" t="s">
        <v>252</v>
      </c>
      <c r="F10" s="51" t="s">
        <v>254</v>
      </c>
      <c r="G10" s="51" t="s">
        <v>173</v>
      </c>
      <c r="H10" s="51" t="s">
        <v>122</v>
      </c>
      <c r="I10" s="51">
        <v>6363.0</v>
      </c>
      <c r="J10" s="51" t="s">
        <v>122</v>
      </c>
      <c r="K10" s="51" t="s">
        <v>601</v>
      </c>
      <c r="L10" s="51" t="s">
        <v>603</v>
      </c>
      <c r="M10" s="51" t="s">
        <v>41</v>
      </c>
      <c r="N10" s="51" t="s">
        <v>604</v>
      </c>
      <c r="O10" s="51" t="s">
        <v>501</v>
      </c>
      <c r="P10" s="51" t="s">
        <v>298</v>
      </c>
      <c r="Q10" s="51" t="s">
        <v>129</v>
      </c>
      <c r="R10" s="51" t="s">
        <v>611</v>
      </c>
      <c r="S10" s="51" t="s">
        <v>133</v>
      </c>
      <c r="T10" s="51" t="s">
        <v>134</v>
      </c>
      <c r="U10" s="52">
        <v>0.4166666666666667</v>
      </c>
      <c r="V10" s="52">
        <v>0.9166666666666666</v>
      </c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3" t="s">
        <v>342</v>
      </c>
      <c r="AH10" s="51"/>
      <c r="AI10" s="51"/>
      <c r="AJ10" s="51" t="s">
        <v>357</v>
      </c>
      <c r="AK10" s="50" t="str">
        <f>IFERROR(__xludf.DUMMYFUNCTION("""COMPUTED_VALUE"""),"50915875004421")</f>
        <v>50915875004421</v>
      </c>
    </row>
    <row r="11">
      <c r="A11" s="41">
        <v>9.0</v>
      </c>
      <c r="B11" s="41" t="s">
        <v>118</v>
      </c>
      <c r="C11" s="41" t="s">
        <v>217</v>
      </c>
      <c r="D11" s="41" t="s">
        <v>143</v>
      </c>
      <c r="E11" s="41" t="s">
        <v>252</v>
      </c>
      <c r="F11" s="41" t="s">
        <v>254</v>
      </c>
      <c r="G11" s="41" t="s">
        <v>173</v>
      </c>
      <c r="H11" s="42" t="s">
        <v>230</v>
      </c>
      <c r="I11" s="42">
        <v>1868.0</v>
      </c>
      <c r="J11" s="42" t="s">
        <v>139</v>
      </c>
      <c r="K11" s="42" t="s">
        <v>231</v>
      </c>
      <c r="L11" s="42" t="s">
        <v>271</v>
      </c>
      <c r="M11" s="42" t="s">
        <v>41</v>
      </c>
      <c r="N11" s="42" t="s">
        <v>637</v>
      </c>
      <c r="O11" s="42" t="s">
        <v>484</v>
      </c>
      <c r="P11" s="42" t="s">
        <v>298</v>
      </c>
      <c r="Q11" s="43" t="s">
        <v>145</v>
      </c>
      <c r="R11" s="43" t="s">
        <v>642</v>
      </c>
      <c r="S11" s="43" t="s">
        <v>148</v>
      </c>
      <c r="T11" s="43" t="s">
        <v>149</v>
      </c>
      <c r="U11" s="45">
        <v>0.375</v>
      </c>
      <c r="V11" s="45">
        <v>0.7916666666666666</v>
      </c>
      <c r="W11" s="46"/>
      <c r="X11" s="46"/>
      <c r="Y11" s="46"/>
      <c r="Z11" s="46"/>
      <c r="AA11" s="46"/>
      <c r="AB11" s="46"/>
      <c r="AC11" s="46"/>
      <c r="AD11" s="47"/>
      <c r="AE11" s="47"/>
      <c r="AF11" s="58"/>
      <c r="AG11" s="48" t="s">
        <v>427</v>
      </c>
      <c r="AH11" s="47"/>
      <c r="AI11" s="49"/>
      <c r="AJ11" s="49" t="s">
        <v>357</v>
      </c>
      <c r="AK11" s="50" t="str">
        <f>IFERROR(__xludf.DUMMYFUNCTION("""COMPUTED_VALUE"""),"50915875000191")</f>
        <v>50915875000191</v>
      </c>
    </row>
    <row r="12">
      <c r="A12" s="51">
        <v>10.0</v>
      </c>
      <c r="B12" s="51" t="s">
        <v>664</v>
      </c>
      <c r="C12" s="51" t="s">
        <v>217</v>
      </c>
      <c r="D12" s="51" t="s">
        <v>666</v>
      </c>
      <c r="E12" s="51" t="s">
        <v>252</v>
      </c>
      <c r="F12" s="51" t="s">
        <v>254</v>
      </c>
      <c r="G12" s="51" t="s">
        <v>173</v>
      </c>
      <c r="H12" s="51" t="s">
        <v>670</v>
      </c>
      <c r="I12" s="51">
        <v>1692.0</v>
      </c>
      <c r="J12" s="51"/>
      <c r="K12" s="51" t="s">
        <v>673</v>
      </c>
      <c r="L12" s="51" t="s">
        <v>271</v>
      </c>
      <c r="M12" s="51" t="s">
        <v>41</v>
      </c>
      <c r="N12" s="51" t="s">
        <v>676</v>
      </c>
      <c r="O12" s="51" t="s">
        <v>434</v>
      </c>
      <c r="P12" s="51" t="s">
        <v>607</v>
      </c>
      <c r="Q12" s="51"/>
      <c r="R12" s="51"/>
      <c r="S12" s="51"/>
      <c r="T12" s="51"/>
      <c r="U12" s="52"/>
      <c r="V12" s="52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3" t="s">
        <v>342</v>
      </c>
      <c r="AH12" s="51"/>
      <c r="AI12" s="51"/>
      <c r="AJ12" s="51"/>
      <c r="AK12" s="50" t="str">
        <f>IFERROR(__xludf.DUMMYFUNCTION("""COMPUTED_VALUE"""),"50915875000515")</f>
        <v>50915875000515</v>
      </c>
    </row>
    <row r="13">
      <c r="A13" s="41">
        <v>11.0</v>
      </c>
      <c r="B13" s="41" t="s">
        <v>692</v>
      </c>
      <c r="C13" s="41" t="s">
        <v>694</v>
      </c>
      <c r="D13" s="41" t="s">
        <v>157</v>
      </c>
      <c r="E13" s="41" t="s">
        <v>252</v>
      </c>
      <c r="F13" s="41" t="s">
        <v>431</v>
      </c>
      <c r="G13" s="41" t="s">
        <v>327</v>
      </c>
      <c r="H13" s="42" t="s">
        <v>698</v>
      </c>
      <c r="I13" s="42">
        <v>227.0</v>
      </c>
      <c r="J13" s="42" t="s">
        <v>154</v>
      </c>
      <c r="K13" s="42" t="s">
        <v>701</v>
      </c>
      <c r="L13" s="42" t="s">
        <v>704</v>
      </c>
      <c r="M13" s="42" t="s">
        <v>41</v>
      </c>
      <c r="N13" s="42" t="s">
        <v>637</v>
      </c>
      <c r="O13" s="42" t="s">
        <v>550</v>
      </c>
      <c r="P13" s="42" t="s">
        <v>617</v>
      </c>
      <c r="Q13" s="43" t="s">
        <v>159</v>
      </c>
      <c r="R13" s="43" t="s">
        <v>709</v>
      </c>
      <c r="S13" s="43" t="s">
        <v>165</v>
      </c>
      <c r="T13" s="43" t="s">
        <v>166</v>
      </c>
      <c r="U13" s="45">
        <v>0.4166666666666667</v>
      </c>
      <c r="V13" s="45">
        <v>0.9166666666666666</v>
      </c>
      <c r="W13" s="46"/>
      <c r="X13" s="46"/>
      <c r="Y13" s="46"/>
      <c r="Z13" s="46"/>
      <c r="AA13" s="46"/>
      <c r="AB13" s="46"/>
      <c r="AC13" s="46"/>
      <c r="AD13" s="47"/>
      <c r="AE13" s="47"/>
      <c r="AF13" s="47"/>
      <c r="AG13" s="48" t="s">
        <v>342</v>
      </c>
      <c r="AH13" s="47"/>
      <c r="AI13" s="49"/>
      <c r="AJ13" s="49" t="s">
        <v>357</v>
      </c>
      <c r="AK13" s="50" t="str">
        <f>IFERROR(__xludf.DUMMYFUNCTION("""COMPUTED_VALUE"""),"09108526000164")</f>
        <v>09108526000164</v>
      </c>
    </row>
    <row r="14">
      <c r="A14" s="51">
        <v>12.0</v>
      </c>
      <c r="B14" s="51" t="s">
        <v>168</v>
      </c>
      <c r="C14" s="51" t="s">
        <v>724</v>
      </c>
      <c r="D14" s="51" t="s">
        <v>174</v>
      </c>
      <c r="E14" s="51" t="s">
        <v>252</v>
      </c>
      <c r="F14" s="51" t="s">
        <v>431</v>
      </c>
      <c r="G14" s="51" t="s">
        <v>327</v>
      </c>
      <c r="H14" s="51" t="s">
        <v>98</v>
      </c>
      <c r="I14" s="51">
        <v>9403.0</v>
      </c>
      <c r="J14" s="51" t="s">
        <v>171</v>
      </c>
      <c r="K14" s="51" t="s">
        <v>546</v>
      </c>
      <c r="L14" s="51" t="s">
        <v>704</v>
      </c>
      <c r="M14" s="51" t="s">
        <v>41</v>
      </c>
      <c r="N14" s="51" t="s">
        <v>730</v>
      </c>
      <c r="O14" s="51" t="s">
        <v>550</v>
      </c>
      <c r="P14" s="51" t="s">
        <v>617</v>
      </c>
      <c r="Q14" s="51" t="s">
        <v>176</v>
      </c>
      <c r="R14" s="51" t="s">
        <v>732</v>
      </c>
      <c r="S14" s="51" t="s">
        <v>179</v>
      </c>
      <c r="T14" s="51" t="s">
        <v>182</v>
      </c>
      <c r="U14" s="52">
        <v>0.4166666666666667</v>
      </c>
      <c r="V14" s="52">
        <v>0.9166666666666666</v>
      </c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3" t="s">
        <v>342</v>
      </c>
      <c r="AH14" s="51"/>
      <c r="AI14" s="51"/>
      <c r="AJ14" s="51" t="s">
        <v>357</v>
      </c>
      <c r="AK14" s="50" t="str">
        <f>IFERROR(__xludf.DUMMYFUNCTION("""COMPUTED_VALUE"""),"02139784000169")</f>
        <v>02139784000169</v>
      </c>
    </row>
    <row r="15">
      <c r="A15" s="41">
        <v>13.0</v>
      </c>
      <c r="B15" s="41" t="s">
        <v>744</v>
      </c>
      <c r="C15" s="41" t="s">
        <v>745</v>
      </c>
      <c r="D15" s="41" t="s">
        <v>192</v>
      </c>
      <c r="E15" s="41" t="s">
        <v>252</v>
      </c>
      <c r="F15" s="41" t="s">
        <v>431</v>
      </c>
      <c r="G15" s="41" t="s">
        <v>327</v>
      </c>
      <c r="H15" s="42" t="s">
        <v>109</v>
      </c>
      <c r="I15" s="42">
        <v>2200.0</v>
      </c>
      <c r="J15" s="42" t="s">
        <v>188</v>
      </c>
      <c r="K15" s="42" t="s">
        <v>576</v>
      </c>
      <c r="L15" s="42" t="s">
        <v>271</v>
      </c>
      <c r="M15" s="42" t="s">
        <v>41</v>
      </c>
      <c r="N15" s="42" t="s">
        <v>540</v>
      </c>
      <c r="O15" s="42" t="s">
        <v>550</v>
      </c>
      <c r="P15" s="42" t="s">
        <v>617</v>
      </c>
      <c r="Q15" s="43" t="s">
        <v>195</v>
      </c>
      <c r="R15" s="43" t="s">
        <v>758</v>
      </c>
      <c r="S15" s="43" t="s">
        <v>198</v>
      </c>
      <c r="T15" s="43" t="s">
        <v>199</v>
      </c>
      <c r="U15" s="45">
        <v>0.4166666666666667</v>
      </c>
      <c r="V15" s="45">
        <v>0.9166666666666666</v>
      </c>
      <c r="W15" s="46"/>
      <c r="X15" s="46"/>
      <c r="Y15" s="46"/>
      <c r="Z15" s="46"/>
      <c r="AA15" s="46"/>
      <c r="AB15" s="46"/>
      <c r="AC15" s="46"/>
      <c r="AD15" s="47"/>
      <c r="AE15" s="47"/>
      <c r="AF15" s="47"/>
      <c r="AG15" s="48" t="s">
        <v>342</v>
      </c>
      <c r="AH15" s="47"/>
      <c r="AI15" s="49"/>
      <c r="AJ15" s="49" t="s">
        <v>357</v>
      </c>
      <c r="AK15" s="50" t="str">
        <f>IFERROR(__xludf.DUMMYFUNCTION("""COMPUTED_VALUE"""),"08371232000168")</f>
        <v>08371232000168</v>
      </c>
    </row>
    <row r="16">
      <c r="A16" s="51">
        <v>15.0</v>
      </c>
      <c r="B16" s="51" t="s">
        <v>768</v>
      </c>
      <c r="C16" s="51" t="s">
        <v>769</v>
      </c>
      <c r="D16" s="51" t="s">
        <v>210</v>
      </c>
      <c r="E16" s="51" t="s">
        <v>252</v>
      </c>
      <c r="F16" s="51" t="s">
        <v>543</v>
      </c>
      <c r="G16" s="51" t="s">
        <v>327</v>
      </c>
      <c r="H16" s="51" t="s">
        <v>98</v>
      </c>
      <c r="I16" s="51">
        <v>9403.0</v>
      </c>
      <c r="J16" s="51" t="s">
        <v>208</v>
      </c>
      <c r="K16" s="51" t="s">
        <v>546</v>
      </c>
      <c r="L16" s="51" t="s">
        <v>271</v>
      </c>
      <c r="M16" s="51" t="s">
        <v>41</v>
      </c>
      <c r="N16" s="51" t="s">
        <v>730</v>
      </c>
      <c r="O16" s="51" t="s">
        <v>510</v>
      </c>
      <c r="P16" s="51" t="s">
        <v>617</v>
      </c>
      <c r="Q16" s="51" t="s">
        <v>212</v>
      </c>
      <c r="R16" s="51" t="s">
        <v>770</v>
      </c>
      <c r="S16" s="51" t="s">
        <v>214</v>
      </c>
      <c r="T16" s="51"/>
      <c r="U16" s="52">
        <v>0.4166666666666667</v>
      </c>
      <c r="V16" s="52">
        <v>0.9166666666666666</v>
      </c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3" t="s">
        <v>342</v>
      </c>
      <c r="AH16" s="51"/>
      <c r="AI16" s="51"/>
      <c r="AJ16" s="51" t="s">
        <v>357</v>
      </c>
      <c r="AK16" s="50" t="str">
        <f>IFERROR(__xludf.DUMMYFUNCTION("""COMPUTED_VALUE"""),"04723248000131")</f>
        <v>04723248000131</v>
      </c>
    </row>
    <row r="17">
      <c r="A17" s="41">
        <v>16.0</v>
      </c>
      <c r="B17" s="41" t="s">
        <v>216</v>
      </c>
      <c r="C17" s="41" t="s">
        <v>217</v>
      </c>
      <c r="D17" s="41" t="s">
        <v>222</v>
      </c>
      <c r="E17" s="41" t="s">
        <v>252</v>
      </c>
      <c r="F17" s="41" t="s">
        <v>254</v>
      </c>
      <c r="G17" s="41" t="s">
        <v>173</v>
      </c>
      <c r="H17" s="42" t="s">
        <v>219</v>
      </c>
      <c r="I17" s="42">
        <v>36.0</v>
      </c>
      <c r="J17" s="42" t="s">
        <v>219</v>
      </c>
      <c r="K17" s="42" t="s">
        <v>39</v>
      </c>
      <c r="L17" s="42" t="s">
        <v>221</v>
      </c>
      <c r="M17" s="42" t="s">
        <v>41</v>
      </c>
      <c r="N17" s="42" t="s">
        <v>773</v>
      </c>
      <c r="O17" s="42" t="s">
        <v>517</v>
      </c>
      <c r="P17" s="42" t="s">
        <v>298</v>
      </c>
      <c r="Q17" s="43" t="s">
        <v>223</v>
      </c>
      <c r="R17" s="43" t="s">
        <v>775</v>
      </c>
      <c r="S17" s="43" t="s">
        <v>227</v>
      </c>
      <c r="T17" s="43" t="s">
        <v>228</v>
      </c>
      <c r="U17" s="45">
        <v>0.375</v>
      </c>
      <c r="V17" s="45">
        <v>0.7916666666666666</v>
      </c>
      <c r="W17" s="46"/>
      <c r="X17" s="46"/>
      <c r="Y17" s="46"/>
      <c r="Z17" s="46"/>
      <c r="AA17" s="46"/>
      <c r="AB17" s="46"/>
      <c r="AC17" s="46"/>
      <c r="AD17" s="47"/>
      <c r="AE17" s="47"/>
      <c r="AF17" s="47"/>
      <c r="AG17" s="48" t="s">
        <v>342</v>
      </c>
      <c r="AH17" s="47"/>
      <c r="AI17" s="49"/>
      <c r="AJ17" s="49" t="s">
        <v>357</v>
      </c>
      <c r="AK17" s="50" t="str">
        <f>IFERROR(__xludf.DUMMYFUNCTION("""COMPUTED_VALUE"""),"50915875001597")</f>
        <v>50915875001597</v>
      </c>
    </row>
    <row r="18">
      <c r="A18" s="51">
        <v>17.0</v>
      </c>
      <c r="B18" s="51" t="s">
        <v>782</v>
      </c>
      <c r="C18" s="51" t="s">
        <v>783</v>
      </c>
      <c r="D18" s="51" t="s">
        <v>232</v>
      </c>
      <c r="E18" s="51" t="s">
        <v>252</v>
      </c>
      <c r="F18" s="51" t="s">
        <v>254</v>
      </c>
      <c r="G18" s="51" t="s">
        <v>288</v>
      </c>
      <c r="H18" s="51" t="s">
        <v>230</v>
      </c>
      <c r="I18" s="51">
        <v>227.0</v>
      </c>
      <c r="J18" s="51" t="s">
        <v>230</v>
      </c>
      <c r="K18" s="51" t="s">
        <v>231</v>
      </c>
      <c r="L18" s="51" t="s">
        <v>271</v>
      </c>
      <c r="M18" s="51" t="s">
        <v>41</v>
      </c>
      <c r="N18" s="51" t="s">
        <v>742</v>
      </c>
      <c r="O18" s="51" t="s">
        <v>484</v>
      </c>
      <c r="P18" s="51" t="s">
        <v>298</v>
      </c>
      <c r="Q18" s="51" t="s">
        <v>234</v>
      </c>
      <c r="R18" s="51" t="s">
        <v>786</v>
      </c>
      <c r="S18" s="51" t="s">
        <v>236</v>
      </c>
      <c r="T18" s="51" t="s">
        <v>237</v>
      </c>
      <c r="U18" s="52">
        <v>0.4166666666666667</v>
      </c>
      <c r="V18" s="52">
        <v>0.9166666666666666</v>
      </c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3" t="s">
        <v>342</v>
      </c>
      <c r="AH18" s="51"/>
      <c r="AI18" s="51"/>
      <c r="AJ18" s="51" t="s">
        <v>357</v>
      </c>
      <c r="AK18" s="50" t="str">
        <f>IFERROR(__xludf.DUMMYFUNCTION("""COMPUTED_VALUE"""),"05574086000180")</f>
        <v>05574086000180</v>
      </c>
    </row>
    <row r="19">
      <c r="A19" s="41">
        <v>18.0</v>
      </c>
      <c r="B19" s="41" t="s">
        <v>789</v>
      </c>
      <c r="C19" s="41" t="s">
        <v>790</v>
      </c>
      <c r="D19" s="41" t="s">
        <v>244</v>
      </c>
      <c r="E19" s="41" t="s">
        <v>252</v>
      </c>
      <c r="F19" s="41" t="s">
        <v>431</v>
      </c>
      <c r="G19" s="41" t="s">
        <v>327</v>
      </c>
      <c r="H19" s="42" t="s">
        <v>795</v>
      </c>
      <c r="I19" s="42">
        <v>364.0</v>
      </c>
      <c r="J19" s="42" t="s">
        <v>242</v>
      </c>
      <c r="K19" s="42" t="s">
        <v>39</v>
      </c>
      <c r="L19" s="42" t="s">
        <v>77</v>
      </c>
      <c r="M19" s="42" t="s">
        <v>41</v>
      </c>
      <c r="N19" s="42" t="s">
        <v>798</v>
      </c>
      <c r="O19" s="42" t="s">
        <v>550</v>
      </c>
      <c r="P19" s="42" t="s">
        <v>617</v>
      </c>
      <c r="Q19" s="43" t="s">
        <v>245</v>
      </c>
      <c r="R19" s="43" t="s">
        <v>801</v>
      </c>
      <c r="S19" s="43" t="s">
        <v>247</v>
      </c>
      <c r="T19" s="43" t="s">
        <v>248</v>
      </c>
      <c r="U19" s="45">
        <v>0.4166666666666667</v>
      </c>
      <c r="V19" s="45">
        <v>0.9166666666666666</v>
      </c>
      <c r="W19" s="46"/>
      <c r="X19" s="46"/>
      <c r="Y19" s="46"/>
      <c r="Z19" s="46"/>
      <c r="AA19" s="46"/>
      <c r="AB19" s="46"/>
      <c r="AC19" s="46"/>
      <c r="AD19" s="47"/>
      <c r="AE19" s="47"/>
      <c r="AF19" s="47"/>
      <c r="AG19" s="48" t="s">
        <v>342</v>
      </c>
      <c r="AH19" s="47"/>
      <c r="AI19" s="49"/>
      <c r="AJ19" s="49" t="s">
        <v>357</v>
      </c>
      <c r="AK19" s="50" t="str">
        <f>IFERROR(__xludf.DUMMYFUNCTION("""COMPUTED_VALUE"""),"14620014000112")</f>
        <v>14620014000112</v>
      </c>
    </row>
    <row r="20">
      <c r="A20" s="51">
        <v>19.0</v>
      </c>
      <c r="B20" s="51" t="s">
        <v>250</v>
      </c>
      <c r="C20" s="51" t="s">
        <v>217</v>
      </c>
      <c r="D20" s="51" t="s">
        <v>253</v>
      </c>
      <c r="E20" s="51" t="s">
        <v>252</v>
      </c>
      <c r="F20" s="51" t="s">
        <v>254</v>
      </c>
      <c r="G20" s="51" t="s">
        <v>173</v>
      </c>
      <c r="H20" s="51" t="s">
        <v>795</v>
      </c>
      <c r="I20" s="51">
        <v>364.0</v>
      </c>
      <c r="J20" s="51" t="s">
        <v>251</v>
      </c>
      <c r="K20" s="51" t="s">
        <v>39</v>
      </c>
      <c r="L20" s="51" t="s">
        <v>77</v>
      </c>
      <c r="M20" s="51" t="s">
        <v>41</v>
      </c>
      <c r="N20" s="51" t="s">
        <v>798</v>
      </c>
      <c r="O20" s="51" t="s">
        <v>466</v>
      </c>
      <c r="P20" s="51" t="s">
        <v>298</v>
      </c>
      <c r="Q20" s="51" t="s">
        <v>255</v>
      </c>
      <c r="R20" s="51" t="s">
        <v>816</v>
      </c>
      <c r="S20" s="51" t="s">
        <v>257</v>
      </c>
      <c r="T20" s="51" t="s">
        <v>259</v>
      </c>
      <c r="U20" s="52">
        <v>0.4166666666666667</v>
      </c>
      <c r="V20" s="52">
        <v>0.9166666666666666</v>
      </c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3" t="s">
        <v>342</v>
      </c>
      <c r="AH20" s="51"/>
      <c r="AI20" s="51"/>
      <c r="AJ20" s="51" t="s">
        <v>357</v>
      </c>
      <c r="AK20" s="50" t="str">
        <f>IFERROR(__xludf.DUMMYFUNCTION("""COMPUTED_VALUE"""),"50915875001678")</f>
        <v>50915875001678</v>
      </c>
    </row>
    <row r="21" ht="15.75" customHeight="1">
      <c r="A21" s="41">
        <v>20.0</v>
      </c>
      <c r="B21" s="41" t="s">
        <v>260</v>
      </c>
      <c r="C21" s="41" t="s">
        <v>217</v>
      </c>
      <c r="D21" s="41" t="s">
        <v>830</v>
      </c>
      <c r="E21" s="41" t="s">
        <v>252</v>
      </c>
      <c r="F21" s="41" t="s">
        <v>254</v>
      </c>
      <c r="G21" s="41" t="s">
        <v>173</v>
      </c>
      <c r="H21" s="42" t="s">
        <v>263</v>
      </c>
      <c r="I21" s="42">
        <v>1700.0</v>
      </c>
      <c r="J21" s="42" t="s">
        <v>263</v>
      </c>
      <c r="K21" s="42" t="s">
        <v>834</v>
      </c>
      <c r="L21" s="42" t="s">
        <v>266</v>
      </c>
      <c r="M21" s="42" t="s">
        <v>41</v>
      </c>
      <c r="N21" s="42" t="s">
        <v>837</v>
      </c>
      <c r="O21" s="42" t="s">
        <v>389</v>
      </c>
      <c r="P21" s="42" t="s">
        <v>298</v>
      </c>
      <c r="Q21" s="43" t="s">
        <v>268</v>
      </c>
      <c r="R21" s="43" t="s">
        <v>839</v>
      </c>
      <c r="S21" s="43" t="s">
        <v>272</v>
      </c>
      <c r="T21" s="43" t="s">
        <v>273</v>
      </c>
      <c r="U21" s="45">
        <v>0.4166666666666667</v>
      </c>
      <c r="V21" s="45">
        <v>0.9166666666666666</v>
      </c>
      <c r="W21" s="46"/>
      <c r="X21" s="46"/>
      <c r="Y21" s="46"/>
      <c r="Z21" s="46"/>
      <c r="AA21" s="46"/>
      <c r="AB21" s="46"/>
      <c r="AC21" s="46"/>
      <c r="AD21" s="47"/>
      <c r="AE21" s="47"/>
      <c r="AF21" s="47"/>
      <c r="AG21" s="48" t="s">
        <v>342</v>
      </c>
      <c r="AH21" s="47"/>
      <c r="AI21" s="49"/>
      <c r="AJ21" s="49" t="s">
        <v>357</v>
      </c>
      <c r="AK21" s="50" t="str">
        <f>IFERROR(__xludf.DUMMYFUNCTION("""COMPUTED_VALUE"""),"50915875001759")</f>
        <v>50915875001759</v>
      </c>
    </row>
    <row r="22" ht="15.75" customHeight="1">
      <c r="A22" s="51">
        <v>22.0</v>
      </c>
      <c r="B22" s="51" t="s">
        <v>274</v>
      </c>
      <c r="C22" s="51" t="s">
        <v>853</v>
      </c>
      <c r="D22" s="51" t="s">
        <v>855</v>
      </c>
      <c r="E22" s="51" t="s">
        <v>857</v>
      </c>
      <c r="F22" s="51" t="s">
        <v>254</v>
      </c>
      <c r="G22" s="51" t="s">
        <v>288</v>
      </c>
      <c r="H22" s="51" t="s">
        <v>258</v>
      </c>
      <c r="I22" s="51">
        <v>156.0</v>
      </c>
      <c r="J22" s="51" t="s">
        <v>37</v>
      </c>
      <c r="K22" s="51" t="s">
        <v>39</v>
      </c>
      <c r="L22" s="51" t="s">
        <v>271</v>
      </c>
      <c r="M22" s="51" t="s">
        <v>41</v>
      </c>
      <c r="N22" s="51" t="s">
        <v>294</v>
      </c>
      <c r="O22" s="51" t="s">
        <v>295</v>
      </c>
      <c r="P22" s="51" t="s">
        <v>298</v>
      </c>
      <c r="Q22" s="51" t="s">
        <v>278</v>
      </c>
      <c r="R22" s="51" t="s">
        <v>866</v>
      </c>
      <c r="S22" s="51" t="s">
        <v>280</v>
      </c>
      <c r="T22" s="51" t="s">
        <v>281</v>
      </c>
      <c r="U22" s="52">
        <v>0.375</v>
      </c>
      <c r="V22" s="52">
        <v>0.7916666666666666</v>
      </c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3" t="s">
        <v>342</v>
      </c>
      <c r="AH22" s="51"/>
      <c r="AI22" s="51"/>
      <c r="AJ22" s="51" t="s">
        <v>357</v>
      </c>
      <c r="AK22" s="50" t="str">
        <f>IFERROR(__xludf.DUMMYFUNCTION("""COMPUTED_VALUE"""),"05908530000156")</f>
        <v>05908530000156</v>
      </c>
    </row>
    <row r="23" ht="15.75" customHeight="1">
      <c r="A23" s="41">
        <v>23.0</v>
      </c>
      <c r="B23" s="41" t="s">
        <v>283</v>
      </c>
      <c r="C23" s="41" t="s">
        <v>217</v>
      </c>
      <c r="D23" s="41" t="s">
        <v>289</v>
      </c>
      <c r="E23" s="41" t="s">
        <v>252</v>
      </c>
      <c r="F23" s="41" t="s">
        <v>254</v>
      </c>
      <c r="G23" s="41" t="s">
        <v>173</v>
      </c>
      <c r="H23" s="42" t="s">
        <v>879</v>
      </c>
      <c r="I23" s="42">
        <v>351.0</v>
      </c>
      <c r="J23" s="42" t="s">
        <v>285</v>
      </c>
      <c r="K23" s="42" t="s">
        <v>882</v>
      </c>
      <c r="L23" s="42" t="s">
        <v>221</v>
      </c>
      <c r="M23" s="42" t="s">
        <v>41</v>
      </c>
      <c r="N23" s="42" t="s">
        <v>884</v>
      </c>
      <c r="O23" s="42" t="s">
        <v>517</v>
      </c>
      <c r="P23" s="42" t="s">
        <v>298</v>
      </c>
      <c r="Q23" s="43" t="s">
        <v>290</v>
      </c>
      <c r="R23" s="43" t="s">
        <v>886</v>
      </c>
      <c r="S23" s="43" t="s">
        <v>292</v>
      </c>
      <c r="T23" s="43" t="s">
        <v>293</v>
      </c>
      <c r="U23" s="45">
        <v>0.4166666666666667</v>
      </c>
      <c r="V23" s="45">
        <v>0.9166666666666666</v>
      </c>
      <c r="W23" s="46"/>
      <c r="X23" s="46"/>
      <c r="Y23" s="46"/>
      <c r="Z23" s="46"/>
      <c r="AA23" s="46"/>
      <c r="AB23" s="46"/>
      <c r="AC23" s="46"/>
      <c r="AD23" s="47"/>
      <c r="AE23" s="47"/>
      <c r="AF23" s="47"/>
      <c r="AG23" s="48" t="s">
        <v>342</v>
      </c>
      <c r="AH23" s="47"/>
      <c r="AI23" s="49"/>
      <c r="AJ23" s="49" t="s">
        <v>357</v>
      </c>
      <c r="AK23" s="50" t="str">
        <f>IFERROR(__xludf.DUMMYFUNCTION("""COMPUTED_VALUE"""),"50915875001830")</f>
        <v>50915875001830</v>
      </c>
    </row>
    <row r="24" ht="15.75" customHeight="1">
      <c r="A24" s="51">
        <v>24.0</v>
      </c>
      <c r="B24" s="51" t="s">
        <v>900</v>
      </c>
      <c r="C24" s="51" t="s">
        <v>901</v>
      </c>
      <c r="D24" s="51" t="s">
        <v>302</v>
      </c>
      <c r="E24" s="51" t="s">
        <v>252</v>
      </c>
      <c r="F24" s="51" t="s">
        <v>905</v>
      </c>
      <c r="G24" s="51" t="s">
        <v>310</v>
      </c>
      <c r="H24" s="51" t="s">
        <v>300</v>
      </c>
      <c r="I24" s="51">
        <v>301.0</v>
      </c>
      <c r="J24" s="51" t="s">
        <v>300</v>
      </c>
      <c r="K24" s="51" t="s">
        <v>39</v>
      </c>
      <c r="L24" s="51" t="s">
        <v>271</v>
      </c>
      <c r="M24" s="51" t="s">
        <v>41</v>
      </c>
      <c r="N24" s="51" t="s">
        <v>911</v>
      </c>
      <c r="O24" s="51" t="s">
        <v>295</v>
      </c>
      <c r="P24" s="51" t="s">
        <v>298</v>
      </c>
      <c r="Q24" s="51" t="s">
        <v>304</v>
      </c>
      <c r="R24" s="51" t="s">
        <v>915</v>
      </c>
      <c r="S24" s="51" t="s">
        <v>307</v>
      </c>
      <c r="T24" s="51" t="s">
        <v>308</v>
      </c>
      <c r="U24" s="52">
        <v>0.375</v>
      </c>
      <c r="V24" s="52">
        <v>0.7916666666666666</v>
      </c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3" t="s">
        <v>342</v>
      </c>
      <c r="AH24" s="51"/>
      <c r="AI24" s="51"/>
      <c r="AJ24" s="51" t="s">
        <v>357</v>
      </c>
      <c r="AK24" s="50" t="str">
        <f>IFERROR(__xludf.DUMMYFUNCTION("""COMPUTED_VALUE"""),"08776666000148")</f>
        <v>08776666000148</v>
      </c>
    </row>
    <row r="25" ht="15.75" customHeight="1">
      <c r="A25" s="41">
        <v>26.0</v>
      </c>
      <c r="B25" s="41" t="s">
        <v>309</v>
      </c>
      <c r="C25" s="41" t="s">
        <v>217</v>
      </c>
      <c r="D25" s="41" t="s">
        <v>311</v>
      </c>
      <c r="E25" s="41" t="s">
        <v>252</v>
      </c>
      <c r="F25" s="41" t="s">
        <v>254</v>
      </c>
      <c r="G25" s="41" t="s">
        <v>173</v>
      </c>
      <c r="H25" s="42" t="s">
        <v>230</v>
      </c>
      <c r="I25" s="42">
        <v>227.0</v>
      </c>
      <c r="J25" s="42" t="s">
        <v>230</v>
      </c>
      <c r="K25" s="42" t="s">
        <v>231</v>
      </c>
      <c r="L25" s="42" t="s">
        <v>271</v>
      </c>
      <c r="M25" s="42" t="s">
        <v>41</v>
      </c>
      <c r="N25" s="42" t="s">
        <v>742</v>
      </c>
      <c r="O25" s="42" t="s">
        <v>484</v>
      </c>
      <c r="P25" s="42" t="s">
        <v>298</v>
      </c>
      <c r="Q25" s="43" t="s">
        <v>312</v>
      </c>
      <c r="R25" s="43" t="s">
        <v>953</v>
      </c>
      <c r="S25" s="43" t="s">
        <v>314</v>
      </c>
      <c r="T25" s="43" t="s">
        <v>315</v>
      </c>
      <c r="U25" s="45">
        <v>0.4166666666666667</v>
      </c>
      <c r="V25" s="45">
        <v>0.9166666666666666</v>
      </c>
      <c r="W25" s="46"/>
      <c r="X25" s="46"/>
      <c r="Y25" s="46"/>
      <c r="Z25" s="46"/>
      <c r="AA25" s="46"/>
      <c r="AB25" s="46"/>
      <c r="AC25" s="46"/>
      <c r="AD25" s="47"/>
      <c r="AE25" s="47"/>
      <c r="AF25" s="47"/>
      <c r="AG25" s="48" t="s">
        <v>342</v>
      </c>
      <c r="AH25" s="47"/>
      <c r="AI25" s="49"/>
      <c r="AJ25" s="49" t="s">
        <v>357</v>
      </c>
      <c r="AK25" s="50" t="str">
        <f>IFERROR(__xludf.DUMMYFUNCTION("""COMPUTED_VALUE"""),"50915875001082")</f>
        <v>50915875001082</v>
      </c>
    </row>
    <row r="26" ht="15.75" customHeight="1">
      <c r="A26" s="51">
        <v>28.0</v>
      </c>
      <c r="B26" s="51" t="s">
        <v>986</v>
      </c>
      <c r="C26" s="51" t="s">
        <v>217</v>
      </c>
      <c r="D26" s="51" t="s">
        <v>322</v>
      </c>
      <c r="E26" s="51" t="s">
        <v>252</v>
      </c>
      <c r="F26" s="51" t="s">
        <v>254</v>
      </c>
      <c r="G26" s="51" t="s">
        <v>173</v>
      </c>
      <c r="H26" s="51" t="s">
        <v>992</v>
      </c>
      <c r="I26" s="51">
        <v>54.0</v>
      </c>
      <c r="J26" s="51" t="s">
        <v>992</v>
      </c>
      <c r="K26" s="51" t="s">
        <v>39</v>
      </c>
      <c r="L26" s="51" t="s">
        <v>266</v>
      </c>
      <c r="M26" s="51" t="s">
        <v>41</v>
      </c>
      <c r="N26" s="51" t="s">
        <v>998</v>
      </c>
      <c r="O26" s="51" t="s">
        <v>389</v>
      </c>
      <c r="P26" s="51" t="s">
        <v>298</v>
      </c>
      <c r="Q26" s="51" t="s">
        <v>323</v>
      </c>
      <c r="R26" s="51" t="s">
        <v>324</v>
      </c>
      <c r="S26" s="51" t="s">
        <v>325</v>
      </c>
      <c r="T26" s="51" t="s">
        <v>326</v>
      </c>
      <c r="U26" s="52">
        <v>0.375</v>
      </c>
      <c r="V26" s="52">
        <v>0.7708333333333334</v>
      </c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3" t="s">
        <v>427</v>
      </c>
      <c r="AH26" s="51"/>
      <c r="AI26" s="51"/>
      <c r="AJ26" s="51" t="s">
        <v>357</v>
      </c>
      <c r="AK26" s="50" t="str">
        <f>IFERROR(__xludf.DUMMYFUNCTION("""COMPUTED_VALUE"""),"50915875001910")</f>
        <v>50915875001910</v>
      </c>
    </row>
    <row r="27" ht="15.75" customHeight="1">
      <c r="A27" s="41">
        <v>30.0</v>
      </c>
      <c r="B27" s="41" t="s">
        <v>1013</v>
      </c>
      <c r="C27" s="41" t="s">
        <v>1015</v>
      </c>
      <c r="D27" s="41" t="s">
        <v>1017</v>
      </c>
      <c r="E27" s="41" t="s">
        <v>252</v>
      </c>
      <c r="F27" s="41" t="s">
        <v>1018</v>
      </c>
      <c r="G27" s="41" t="s">
        <v>124</v>
      </c>
      <c r="H27" s="42" t="s">
        <v>1020</v>
      </c>
      <c r="I27" s="42">
        <v>123.0</v>
      </c>
      <c r="J27" s="42"/>
      <c r="K27" s="42" t="s">
        <v>1023</v>
      </c>
      <c r="L27" s="42" t="s">
        <v>271</v>
      </c>
      <c r="M27" s="42" t="s">
        <v>41</v>
      </c>
      <c r="N27" s="42" t="s">
        <v>1027</v>
      </c>
      <c r="O27" s="42" t="s">
        <v>339</v>
      </c>
      <c r="P27" s="42" t="s">
        <v>607</v>
      </c>
      <c r="Q27" s="43"/>
      <c r="R27" s="43"/>
      <c r="S27" s="43"/>
      <c r="T27" s="43"/>
      <c r="U27" s="45"/>
      <c r="V27" s="45"/>
      <c r="W27" s="46"/>
      <c r="X27" s="46"/>
      <c r="Y27" s="46"/>
      <c r="Z27" s="46"/>
      <c r="AA27" s="46"/>
      <c r="AB27" s="46"/>
      <c r="AC27" s="46"/>
      <c r="AD27" s="47"/>
      <c r="AE27" s="47"/>
      <c r="AF27" s="47"/>
      <c r="AG27" s="48" t="s">
        <v>342</v>
      </c>
      <c r="AH27" s="47"/>
      <c r="AI27" s="49"/>
      <c r="AJ27" s="49"/>
      <c r="AK27" s="50" t="str">
        <f>IFERROR(__xludf.DUMMYFUNCTION("""COMPUTED_VALUE"""),"50915875999962")</f>
        <v>50915875999962</v>
      </c>
    </row>
    <row r="28" ht="15.75" customHeight="1">
      <c r="A28" s="51">
        <v>31.0</v>
      </c>
      <c r="B28" s="51" t="s">
        <v>328</v>
      </c>
      <c r="C28" s="51" t="s">
        <v>1044</v>
      </c>
      <c r="D28" s="51" t="s">
        <v>334</v>
      </c>
      <c r="E28" s="51" t="s">
        <v>252</v>
      </c>
      <c r="F28" s="51" t="s">
        <v>1047</v>
      </c>
      <c r="G28" s="51" t="s">
        <v>310</v>
      </c>
      <c r="H28" s="51" t="s">
        <v>330</v>
      </c>
      <c r="I28" s="51">
        <v>1001.0</v>
      </c>
      <c r="J28" s="51" t="s">
        <v>330</v>
      </c>
      <c r="K28" s="51" t="s">
        <v>1051</v>
      </c>
      <c r="L28" s="51" t="s">
        <v>1052</v>
      </c>
      <c r="M28" s="51" t="s">
        <v>41</v>
      </c>
      <c r="N28" s="51" t="s">
        <v>1055</v>
      </c>
      <c r="O28" s="51" t="s">
        <v>466</v>
      </c>
      <c r="P28" s="51" t="s">
        <v>298</v>
      </c>
      <c r="Q28" s="51" t="s">
        <v>336</v>
      </c>
      <c r="R28" s="51" t="s">
        <v>1058</v>
      </c>
      <c r="S28" s="51" t="s">
        <v>340</v>
      </c>
      <c r="T28" s="51" t="s">
        <v>341</v>
      </c>
      <c r="U28" s="52">
        <v>0.4166666666666667</v>
      </c>
      <c r="V28" s="52">
        <v>0.9166666666666666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3" t="s">
        <v>342</v>
      </c>
      <c r="AH28" s="51"/>
      <c r="AI28" s="51"/>
      <c r="AJ28" s="51" t="s">
        <v>357</v>
      </c>
      <c r="AK28" s="50" t="str">
        <f>IFERROR(__xludf.DUMMYFUNCTION("""COMPUTED_VALUE"""),"10980442000103")</f>
        <v>10980442000103</v>
      </c>
    </row>
    <row r="29" ht="15.75" customHeight="1">
      <c r="A29" s="41">
        <v>32.0</v>
      </c>
      <c r="B29" s="41" t="s">
        <v>343</v>
      </c>
      <c r="C29" s="41" t="s">
        <v>217</v>
      </c>
      <c r="D29" s="41" t="s">
        <v>346</v>
      </c>
      <c r="E29" s="41" t="s">
        <v>252</v>
      </c>
      <c r="F29" s="41" t="s">
        <v>254</v>
      </c>
      <c r="G29" s="41" t="s">
        <v>173</v>
      </c>
      <c r="H29" s="42" t="s">
        <v>330</v>
      </c>
      <c r="I29" s="42">
        <v>1001.0</v>
      </c>
      <c r="J29" s="42" t="s">
        <v>330</v>
      </c>
      <c r="K29" s="42" t="s">
        <v>1051</v>
      </c>
      <c r="L29" s="42" t="s">
        <v>1052</v>
      </c>
      <c r="M29" s="42" t="s">
        <v>41</v>
      </c>
      <c r="N29" s="42" t="s">
        <v>1055</v>
      </c>
      <c r="O29" s="42" t="s">
        <v>466</v>
      </c>
      <c r="P29" s="42" t="s">
        <v>298</v>
      </c>
      <c r="Q29" s="43" t="s">
        <v>347</v>
      </c>
      <c r="R29" s="43" t="s">
        <v>1081</v>
      </c>
      <c r="S29" s="43" t="s">
        <v>349</v>
      </c>
      <c r="T29" s="43" t="s">
        <v>350</v>
      </c>
      <c r="U29" s="45">
        <v>0.4166666666666667</v>
      </c>
      <c r="V29" s="45">
        <v>0.9166666666666666</v>
      </c>
      <c r="W29" s="46"/>
      <c r="X29" s="46"/>
      <c r="Y29" s="46"/>
      <c r="Z29" s="46"/>
      <c r="AA29" s="46"/>
      <c r="AB29" s="46"/>
      <c r="AC29" s="46"/>
      <c r="AD29" s="47"/>
      <c r="AE29" s="47"/>
      <c r="AF29" s="47"/>
      <c r="AG29" s="48" t="s">
        <v>342</v>
      </c>
      <c r="AH29" s="47"/>
      <c r="AI29" s="49"/>
      <c r="AJ29" s="49" t="s">
        <v>357</v>
      </c>
      <c r="AK29" s="50" t="str">
        <f>IFERROR(__xludf.DUMMYFUNCTION("""COMPUTED_VALUE"""),"50915875002054")</f>
        <v>50915875002054</v>
      </c>
    </row>
    <row r="30" ht="15.75" customHeight="1">
      <c r="A30" s="51">
        <v>33.0</v>
      </c>
      <c r="B30" s="51" t="s">
        <v>1087</v>
      </c>
      <c r="C30" s="51" t="s">
        <v>1089</v>
      </c>
      <c r="D30" s="51" t="s">
        <v>1091</v>
      </c>
      <c r="E30" s="51" t="s">
        <v>857</v>
      </c>
      <c r="F30" s="51" t="s">
        <v>124</v>
      </c>
      <c r="G30" s="51" t="s">
        <v>288</v>
      </c>
      <c r="H30" s="51" t="s">
        <v>1093</v>
      </c>
      <c r="I30" s="51">
        <v>161.0</v>
      </c>
      <c r="J30" s="51"/>
      <c r="K30" s="51" t="s">
        <v>39</v>
      </c>
      <c r="L30" s="51" t="s">
        <v>1052</v>
      </c>
      <c r="M30" s="51" t="s">
        <v>41</v>
      </c>
      <c r="N30" s="51" t="s">
        <v>1100</v>
      </c>
      <c r="O30" s="51"/>
      <c r="P30" s="51"/>
      <c r="Q30" s="51"/>
      <c r="R30" s="51"/>
      <c r="S30" s="51"/>
      <c r="T30" s="51"/>
      <c r="U30" s="52"/>
      <c r="V30" s="52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3" t="s">
        <v>342</v>
      </c>
      <c r="AH30" s="51"/>
      <c r="AI30" s="51"/>
      <c r="AJ30" s="51"/>
      <c r="AK30" s="50" t="str">
        <f>IFERROR(__xludf.DUMMYFUNCTION("""COMPUTED_VALUE"""),"68910587000100")</f>
        <v>68910587000100</v>
      </c>
    </row>
    <row r="31" ht="15.75" customHeight="1">
      <c r="A31" s="41">
        <v>34.0</v>
      </c>
      <c r="B31" s="41" t="s">
        <v>1110</v>
      </c>
      <c r="C31" s="41" t="s">
        <v>1113</v>
      </c>
      <c r="D31" s="41" t="s">
        <v>358</v>
      </c>
      <c r="E31" s="41" t="s">
        <v>252</v>
      </c>
      <c r="F31" s="41" t="s">
        <v>359</v>
      </c>
      <c r="G31" s="41" t="s">
        <v>310</v>
      </c>
      <c r="H31" s="42" t="s">
        <v>1118</v>
      </c>
      <c r="I31" s="42">
        <v>135.0</v>
      </c>
      <c r="J31" s="42" t="s">
        <v>354</v>
      </c>
      <c r="K31" s="42" t="s">
        <v>1121</v>
      </c>
      <c r="L31" s="42" t="s">
        <v>1052</v>
      </c>
      <c r="M31" s="42" t="s">
        <v>41</v>
      </c>
      <c r="N31" s="42" t="s">
        <v>353</v>
      </c>
      <c r="O31" s="42" t="s">
        <v>316</v>
      </c>
      <c r="P31" s="42" t="s">
        <v>595</v>
      </c>
      <c r="Q31" s="43" t="s">
        <v>361</v>
      </c>
      <c r="R31" s="43" t="s">
        <v>1127</v>
      </c>
      <c r="S31" s="43" t="s">
        <v>364</v>
      </c>
      <c r="T31" s="43" t="s">
        <v>365</v>
      </c>
      <c r="U31" s="45">
        <v>0.4166666666666667</v>
      </c>
      <c r="V31" s="45">
        <v>0.75</v>
      </c>
      <c r="W31" s="46"/>
      <c r="X31" s="46"/>
      <c r="Y31" s="46"/>
      <c r="Z31" s="46"/>
      <c r="AA31" s="46"/>
      <c r="AB31" s="46"/>
      <c r="AC31" s="46"/>
      <c r="AD31" s="47"/>
      <c r="AE31" s="47"/>
      <c r="AF31" s="47"/>
      <c r="AG31" s="48" t="s">
        <v>342</v>
      </c>
      <c r="AH31" s="47"/>
      <c r="AI31" s="49"/>
      <c r="AJ31" s="49" t="s">
        <v>357</v>
      </c>
      <c r="AK31" s="50" t="str">
        <f>IFERROR(__xludf.DUMMYFUNCTION("""COMPUTED_VALUE"""),"03972679000179")</f>
        <v>03972679000179</v>
      </c>
    </row>
    <row r="32" ht="15.75" customHeight="1">
      <c r="A32" s="51">
        <v>35.0</v>
      </c>
      <c r="B32" s="51" t="s">
        <v>1144</v>
      </c>
      <c r="C32" s="51" t="s">
        <v>1146</v>
      </c>
      <c r="D32" s="51" t="s">
        <v>372</v>
      </c>
      <c r="E32" s="51" t="s">
        <v>252</v>
      </c>
      <c r="F32" s="51" t="s">
        <v>359</v>
      </c>
      <c r="G32" s="51" t="s">
        <v>310</v>
      </c>
      <c r="H32" s="51" t="s">
        <v>369</v>
      </c>
      <c r="I32" s="51">
        <v>34.0</v>
      </c>
      <c r="J32" s="51" t="s">
        <v>369</v>
      </c>
      <c r="K32" s="51" t="s">
        <v>1155</v>
      </c>
      <c r="L32" s="51" t="s">
        <v>371</v>
      </c>
      <c r="M32" s="51" t="s">
        <v>41</v>
      </c>
      <c r="N32" s="51" t="s">
        <v>368</v>
      </c>
      <c r="O32" s="51" t="s">
        <v>316</v>
      </c>
      <c r="P32" s="51" t="s">
        <v>595</v>
      </c>
      <c r="Q32" s="51" t="s">
        <v>373</v>
      </c>
      <c r="R32" s="51" t="s">
        <v>1163</v>
      </c>
      <c r="S32" s="51" t="s">
        <v>376</v>
      </c>
      <c r="T32" s="51" t="s">
        <v>377</v>
      </c>
      <c r="U32" s="52">
        <v>0.3958333333333333</v>
      </c>
      <c r="V32" s="52">
        <v>0.7638888888888888</v>
      </c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3" t="s">
        <v>342</v>
      </c>
      <c r="AH32" s="51"/>
      <c r="AI32" s="51"/>
      <c r="AJ32" s="51" t="s">
        <v>357</v>
      </c>
      <c r="AK32" s="50" t="str">
        <f>IFERROR(__xludf.DUMMYFUNCTION("""COMPUTED_VALUE"""),"04431428000140")</f>
        <v>04431428000140</v>
      </c>
    </row>
    <row r="33" ht="15.75" customHeight="1">
      <c r="A33" s="41">
        <v>36.0</v>
      </c>
      <c r="B33" s="41" t="s">
        <v>1168</v>
      </c>
      <c r="C33" s="41" t="s">
        <v>1169</v>
      </c>
      <c r="D33" s="41" t="s">
        <v>384</v>
      </c>
      <c r="E33" s="41" t="s">
        <v>252</v>
      </c>
      <c r="F33" s="41" t="s">
        <v>385</v>
      </c>
      <c r="G33" s="41" t="s">
        <v>310</v>
      </c>
      <c r="H33" s="42" t="s">
        <v>258</v>
      </c>
      <c r="I33" s="42">
        <v>555.0</v>
      </c>
      <c r="J33" s="42" t="s">
        <v>381</v>
      </c>
      <c r="K33" s="42" t="s">
        <v>597</v>
      </c>
      <c r="L33" s="42" t="s">
        <v>371</v>
      </c>
      <c r="M33" s="42" t="s">
        <v>41</v>
      </c>
      <c r="N33" s="42" t="s">
        <v>380</v>
      </c>
      <c r="O33" s="42" t="s">
        <v>316</v>
      </c>
      <c r="P33" s="42" t="s">
        <v>595</v>
      </c>
      <c r="Q33" s="43" t="s">
        <v>386</v>
      </c>
      <c r="R33" s="43" t="s">
        <v>388</v>
      </c>
      <c r="S33" s="43" t="s">
        <v>1180</v>
      </c>
      <c r="T33" s="43" t="s">
        <v>392</v>
      </c>
      <c r="U33" s="45">
        <v>0.4166666666666667</v>
      </c>
      <c r="V33" s="45">
        <v>0.8125</v>
      </c>
      <c r="W33" s="46"/>
      <c r="X33" s="46"/>
      <c r="Y33" s="46"/>
      <c r="Z33" s="46"/>
      <c r="AA33" s="46"/>
      <c r="AB33" s="46"/>
      <c r="AC33" s="46"/>
      <c r="AD33" s="47"/>
      <c r="AE33" s="47"/>
      <c r="AF33" s="47"/>
      <c r="AG33" s="48" t="s">
        <v>342</v>
      </c>
      <c r="AH33" s="47"/>
      <c r="AI33" s="49"/>
      <c r="AJ33" s="49" t="s">
        <v>357</v>
      </c>
      <c r="AK33" s="50" t="str">
        <f>IFERROR(__xludf.DUMMYFUNCTION("""COMPUTED_VALUE"""),"02010526000188")</f>
        <v>02010526000188</v>
      </c>
    </row>
    <row r="34" ht="15.75" customHeight="1">
      <c r="A34" s="51">
        <v>37.0</v>
      </c>
      <c r="B34" s="51" t="s">
        <v>1189</v>
      </c>
      <c r="C34" s="51" t="s">
        <v>1192</v>
      </c>
      <c r="D34" s="51" t="s">
        <v>397</v>
      </c>
      <c r="E34" s="51" t="s">
        <v>252</v>
      </c>
      <c r="F34" s="51" t="s">
        <v>385</v>
      </c>
      <c r="G34" s="51" t="s">
        <v>310</v>
      </c>
      <c r="H34" s="51" t="s">
        <v>1195</v>
      </c>
      <c r="I34" s="51">
        <v>171.0</v>
      </c>
      <c r="J34" s="51" t="s">
        <v>395</v>
      </c>
      <c r="K34" s="51" t="s">
        <v>39</v>
      </c>
      <c r="L34" s="51" t="s">
        <v>1052</v>
      </c>
      <c r="M34" s="51" t="s">
        <v>41</v>
      </c>
      <c r="N34" s="51" t="s">
        <v>394</v>
      </c>
      <c r="O34" s="51" t="s">
        <v>316</v>
      </c>
      <c r="P34" s="51" t="s">
        <v>595</v>
      </c>
      <c r="Q34" s="51" t="s">
        <v>398</v>
      </c>
      <c r="R34" s="51" t="s">
        <v>399</v>
      </c>
      <c r="S34" s="51" t="s">
        <v>1201</v>
      </c>
      <c r="T34" s="51" t="s">
        <v>402</v>
      </c>
      <c r="U34" s="52">
        <v>0.3958333333333333</v>
      </c>
      <c r="V34" s="52">
        <v>0.7708333333333334</v>
      </c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3" t="s">
        <v>342</v>
      </c>
      <c r="AH34" s="51"/>
      <c r="AI34" s="51"/>
      <c r="AJ34" s="51" t="s">
        <v>357</v>
      </c>
      <c r="AK34" s="50" t="str">
        <f>IFERROR(__xludf.DUMMYFUNCTION("""COMPUTED_VALUE"""),"58760141000192")</f>
        <v>58760141000192</v>
      </c>
    </row>
    <row r="35" ht="15.75" customHeight="1">
      <c r="A35" s="41">
        <v>38.0</v>
      </c>
      <c r="B35" s="41" t="s">
        <v>1214</v>
      </c>
      <c r="C35" s="41" t="s">
        <v>1216</v>
      </c>
      <c r="D35" s="41" t="s">
        <v>409</v>
      </c>
      <c r="E35" s="41" t="s">
        <v>252</v>
      </c>
      <c r="F35" s="41" t="s">
        <v>385</v>
      </c>
      <c r="G35" s="41" t="s">
        <v>310</v>
      </c>
      <c r="H35" s="42" t="s">
        <v>330</v>
      </c>
      <c r="I35" s="42">
        <v>1001.0</v>
      </c>
      <c r="J35" s="42" t="s">
        <v>406</v>
      </c>
      <c r="K35" s="42" t="s">
        <v>1051</v>
      </c>
      <c r="L35" s="42" t="s">
        <v>1052</v>
      </c>
      <c r="M35" s="42" t="s">
        <v>41</v>
      </c>
      <c r="N35" s="42" t="s">
        <v>1055</v>
      </c>
      <c r="O35" s="42" t="s">
        <v>316</v>
      </c>
      <c r="P35" s="42" t="s">
        <v>595</v>
      </c>
      <c r="Q35" s="43" t="s">
        <v>411</v>
      </c>
      <c r="R35" s="43" t="s">
        <v>412</v>
      </c>
      <c r="S35" s="43" t="s">
        <v>413</v>
      </c>
      <c r="T35" s="43" t="s">
        <v>414</v>
      </c>
      <c r="U35" s="45">
        <v>0.4166666666666667</v>
      </c>
      <c r="V35" s="45">
        <v>0.9166666666666666</v>
      </c>
      <c r="W35" s="46"/>
      <c r="X35" s="46"/>
      <c r="Y35" s="46"/>
      <c r="Z35" s="46"/>
      <c r="AA35" s="46"/>
      <c r="AB35" s="46"/>
      <c r="AC35" s="46"/>
      <c r="AD35" s="47"/>
      <c r="AE35" s="47"/>
      <c r="AF35" s="47"/>
      <c r="AG35" s="48" t="s">
        <v>342</v>
      </c>
      <c r="AH35" s="47"/>
      <c r="AI35" s="49"/>
      <c r="AJ35" s="49" t="s">
        <v>357</v>
      </c>
      <c r="AK35" s="50" t="str">
        <f>IFERROR(__xludf.DUMMYFUNCTION("""COMPUTED_VALUE"""),"67109132000127")</f>
        <v>67109132000127</v>
      </c>
    </row>
    <row r="36" ht="15.75" customHeight="1">
      <c r="A36" s="51">
        <v>39.0</v>
      </c>
      <c r="B36" s="51" t="s">
        <v>1232</v>
      </c>
      <c r="C36" s="51" t="s">
        <v>217</v>
      </c>
      <c r="D36" s="51" t="s">
        <v>420</v>
      </c>
      <c r="E36" s="51" t="s">
        <v>252</v>
      </c>
      <c r="F36" s="51" t="s">
        <v>254</v>
      </c>
      <c r="G36" s="51" t="s">
        <v>173</v>
      </c>
      <c r="H36" s="51" t="s">
        <v>417</v>
      </c>
      <c r="I36" s="51">
        <v>1395.0</v>
      </c>
      <c r="J36" s="51" t="s">
        <v>417</v>
      </c>
      <c r="K36" s="51" t="s">
        <v>39</v>
      </c>
      <c r="L36" s="51" t="s">
        <v>1052</v>
      </c>
      <c r="M36" s="51" t="s">
        <v>41</v>
      </c>
      <c r="N36" s="51" t="s">
        <v>416</v>
      </c>
      <c r="O36" s="51" t="s">
        <v>466</v>
      </c>
      <c r="P36" s="51" t="s">
        <v>298</v>
      </c>
      <c r="Q36" s="51" t="s">
        <v>421</v>
      </c>
      <c r="R36" s="51" t="s">
        <v>1240</v>
      </c>
      <c r="S36" s="51" t="s">
        <v>423</v>
      </c>
      <c r="T36" s="51" t="s">
        <v>424</v>
      </c>
      <c r="U36" s="52">
        <v>0.375</v>
      </c>
      <c r="V36" s="52">
        <v>0.7916666666666666</v>
      </c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3" t="s">
        <v>342</v>
      </c>
      <c r="AH36" s="51"/>
      <c r="AI36" s="51"/>
      <c r="AJ36" s="51" t="s">
        <v>357</v>
      </c>
      <c r="AK36" s="50" t="str">
        <f>IFERROR(__xludf.DUMMYFUNCTION("""COMPUTED_VALUE"""),"50915875002135")</f>
        <v>50915875002135</v>
      </c>
    </row>
    <row r="37" ht="15.75" customHeight="1">
      <c r="A37" s="41">
        <v>40.0</v>
      </c>
      <c r="B37" s="41" t="s">
        <v>1254</v>
      </c>
      <c r="C37" s="41" t="s">
        <v>1255</v>
      </c>
      <c r="D37" s="41" t="s">
        <v>430</v>
      </c>
      <c r="E37" s="41" t="s">
        <v>252</v>
      </c>
      <c r="F37" s="41" t="s">
        <v>431</v>
      </c>
      <c r="G37" s="41" t="s">
        <v>327</v>
      </c>
      <c r="H37" s="42" t="s">
        <v>330</v>
      </c>
      <c r="I37" s="42">
        <v>1001.0</v>
      </c>
      <c r="J37" s="42" t="s">
        <v>428</v>
      </c>
      <c r="K37" s="42" t="s">
        <v>1051</v>
      </c>
      <c r="L37" s="42" t="s">
        <v>1052</v>
      </c>
      <c r="M37" s="42" t="s">
        <v>41</v>
      </c>
      <c r="N37" s="42" t="s">
        <v>1055</v>
      </c>
      <c r="O37" s="42" t="s">
        <v>316</v>
      </c>
      <c r="P37" s="42" t="s">
        <v>595</v>
      </c>
      <c r="Q37" s="43" t="s">
        <v>432</v>
      </c>
      <c r="R37" s="43" t="s">
        <v>1268</v>
      </c>
      <c r="S37" s="43" t="s">
        <v>435</v>
      </c>
      <c r="T37" s="43" t="s">
        <v>436</v>
      </c>
      <c r="U37" s="45">
        <v>0.4166666666666667</v>
      </c>
      <c r="V37" s="45">
        <v>0.9166666666666666</v>
      </c>
      <c r="W37" s="46"/>
      <c r="X37" s="46"/>
      <c r="Y37" s="46"/>
      <c r="Z37" s="46"/>
      <c r="AA37" s="46"/>
      <c r="AB37" s="46"/>
      <c r="AC37" s="46"/>
      <c r="AD37" s="47"/>
      <c r="AE37" s="47"/>
      <c r="AF37" s="47"/>
      <c r="AG37" s="48" t="s">
        <v>342</v>
      </c>
      <c r="AH37" s="47"/>
      <c r="AI37" s="49"/>
      <c r="AJ37" s="49" t="s">
        <v>357</v>
      </c>
      <c r="AK37" s="50" t="str">
        <f>IFERROR(__xludf.DUMMYFUNCTION("""COMPUTED_VALUE"""),"02163422000103")</f>
        <v>02163422000103</v>
      </c>
    </row>
    <row r="38" ht="15.75" customHeight="1">
      <c r="A38" s="51">
        <v>41.0</v>
      </c>
      <c r="B38" s="51" t="s">
        <v>437</v>
      </c>
      <c r="C38" s="51" t="s">
        <v>217</v>
      </c>
      <c r="D38" s="51" t="s">
        <v>1278</v>
      </c>
      <c r="E38" s="51" t="s">
        <v>252</v>
      </c>
      <c r="F38" s="51" t="s">
        <v>254</v>
      </c>
      <c r="G38" s="51" t="s">
        <v>173</v>
      </c>
      <c r="H38" s="51" t="s">
        <v>1283</v>
      </c>
      <c r="I38" s="51">
        <v>2826.0</v>
      </c>
      <c r="J38" s="51" t="s">
        <v>439</v>
      </c>
      <c r="K38" s="51" t="s">
        <v>39</v>
      </c>
      <c r="L38" s="51" t="s">
        <v>603</v>
      </c>
      <c r="M38" s="51" t="s">
        <v>41</v>
      </c>
      <c r="N38" s="51" t="s">
        <v>1290</v>
      </c>
      <c r="O38" s="51" t="s">
        <v>501</v>
      </c>
      <c r="P38" s="51" t="s">
        <v>298</v>
      </c>
      <c r="Q38" s="51" t="s">
        <v>442</v>
      </c>
      <c r="R38" s="51" t="s">
        <v>1292</v>
      </c>
      <c r="S38" s="51" t="s">
        <v>445</v>
      </c>
      <c r="T38" s="51" t="s">
        <v>446</v>
      </c>
      <c r="U38" s="52">
        <v>0.375</v>
      </c>
      <c r="V38" s="52">
        <v>0.7916666666666666</v>
      </c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3" t="s">
        <v>342</v>
      </c>
      <c r="AH38" s="51"/>
      <c r="AI38" s="51"/>
      <c r="AJ38" s="51" t="s">
        <v>357</v>
      </c>
      <c r="AK38" s="50" t="str">
        <f>IFERROR(__xludf.DUMMYFUNCTION("""COMPUTED_VALUE"""),"50915875006203")</f>
        <v>50915875006203</v>
      </c>
    </row>
    <row r="39" ht="15.75" customHeight="1">
      <c r="A39" s="41">
        <v>42.0</v>
      </c>
      <c r="B39" s="41" t="s">
        <v>447</v>
      </c>
      <c r="C39" s="41" t="s">
        <v>1305</v>
      </c>
      <c r="D39" s="41" t="s">
        <v>453</v>
      </c>
      <c r="E39" s="41" t="s">
        <v>252</v>
      </c>
      <c r="F39" s="41" t="s">
        <v>359</v>
      </c>
      <c r="G39" s="41" t="s">
        <v>310</v>
      </c>
      <c r="H39" s="42" t="s">
        <v>449</v>
      </c>
      <c r="I39" s="42">
        <v>37.0</v>
      </c>
      <c r="J39" s="42" t="s">
        <v>449</v>
      </c>
      <c r="K39" s="42" t="s">
        <v>39</v>
      </c>
      <c r="L39" s="42" t="s">
        <v>452</v>
      </c>
      <c r="M39" s="42" t="s">
        <v>41</v>
      </c>
      <c r="N39" s="42" t="s">
        <v>448</v>
      </c>
      <c r="O39" s="42" t="s">
        <v>316</v>
      </c>
      <c r="P39" s="42" t="s">
        <v>595</v>
      </c>
      <c r="Q39" s="43" t="s">
        <v>455</v>
      </c>
      <c r="R39" s="43" t="s">
        <v>456</v>
      </c>
      <c r="S39" s="43" t="s">
        <v>458</v>
      </c>
      <c r="T39" s="43" t="s">
        <v>459</v>
      </c>
      <c r="U39" s="45">
        <v>0.375</v>
      </c>
      <c r="V39" s="45">
        <v>0.75</v>
      </c>
      <c r="W39" s="46"/>
      <c r="X39" s="46"/>
      <c r="Y39" s="46"/>
      <c r="Z39" s="46"/>
      <c r="AA39" s="46"/>
      <c r="AB39" s="46"/>
      <c r="AC39" s="46"/>
      <c r="AD39" s="47"/>
      <c r="AE39" s="47"/>
      <c r="AF39" s="47"/>
      <c r="AG39" s="48" t="s">
        <v>342</v>
      </c>
      <c r="AH39" s="47"/>
      <c r="AI39" s="49"/>
      <c r="AJ39" s="49" t="s">
        <v>357</v>
      </c>
      <c r="AK39" s="50" t="str">
        <f>IFERROR(__xludf.DUMMYFUNCTION("""COMPUTED_VALUE"""),"08062235000110")</f>
        <v>08062235000110</v>
      </c>
    </row>
    <row r="40" ht="15.75" customHeight="1">
      <c r="A40" s="51">
        <v>43.0</v>
      </c>
      <c r="B40" s="51" t="s">
        <v>1327</v>
      </c>
      <c r="C40" s="51" t="s">
        <v>217</v>
      </c>
      <c r="D40" s="51" t="s">
        <v>463</v>
      </c>
      <c r="E40" s="51" t="s">
        <v>252</v>
      </c>
      <c r="F40" s="51" t="s">
        <v>254</v>
      </c>
      <c r="G40" s="51" t="s">
        <v>173</v>
      </c>
      <c r="H40" s="51" t="s">
        <v>258</v>
      </c>
      <c r="I40" s="51">
        <v>555.0</v>
      </c>
      <c r="J40" s="51" t="s">
        <v>462</v>
      </c>
      <c r="K40" s="51" t="s">
        <v>39</v>
      </c>
      <c r="L40" s="51" t="s">
        <v>371</v>
      </c>
      <c r="M40" s="51" t="s">
        <v>41</v>
      </c>
      <c r="N40" s="51" t="s">
        <v>380</v>
      </c>
      <c r="O40" s="51" t="s">
        <v>466</v>
      </c>
      <c r="P40" s="51" t="s">
        <v>298</v>
      </c>
      <c r="Q40" s="51" t="s">
        <v>464</v>
      </c>
      <c r="R40" s="51" t="s">
        <v>465</v>
      </c>
      <c r="S40" s="51" t="s">
        <v>467</v>
      </c>
      <c r="T40" s="51" t="s">
        <v>468</v>
      </c>
      <c r="U40" s="52">
        <v>0.4166666666666667</v>
      </c>
      <c r="V40" s="52">
        <v>0.9166666666666666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3" t="s">
        <v>342</v>
      </c>
      <c r="AH40" s="51"/>
      <c r="AI40" s="51"/>
      <c r="AJ40" s="51" t="s">
        <v>357</v>
      </c>
      <c r="AK40" s="50" t="str">
        <f>IFERROR(__xludf.DUMMYFUNCTION("""COMPUTED_VALUE"""),"50915875002216")</f>
        <v>50915875002216</v>
      </c>
    </row>
    <row r="41" ht="15.75" customHeight="1">
      <c r="A41" s="41">
        <v>44.0</v>
      </c>
      <c r="B41" s="41" t="s">
        <v>469</v>
      </c>
      <c r="C41" s="41" t="s">
        <v>217</v>
      </c>
      <c r="D41" s="41" t="s">
        <v>476</v>
      </c>
      <c r="E41" s="41" t="s">
        <v>252</v>
      </c>
      <c r="F41" s="41" t="s">
        <v>254</v>
      </c>
      <c r="G41" s="41" t="s">
        <v>173</v>
      </c>
      <c r="H41" s="42" t="s">
        <v>471</v>
      </c>
      <c r="I41" s="42">
        <v>1086.0</v>
      </c>
      <c r="J41" s="42" t="s">
        <v>471</v>
      </c>
      <c r="K41" s="42" t="s">
        <v>1351</v>
      </c>
      <c r="L41" s="42" t="s">
        <v>474</v>
      </c>
      <c r="M41" s="42" t="s">
        <v>41</v>
      </c>
      <c r="N41" s="42" t="s">
        <v>1354</v>
      </c>
      <c r="O41" s="42" t="s">
        <v>389</v>
      </c>
      <c r="P41" s="42" t="s">
        <v>298</v>
      </c>
      <c r="Q41" s="43" t="s">
        <v>478</v>
      </c>
      <c r="R41" s="43" t="s">
        <v>1362</v>
      </c>
      <c r="S41" s="43" t="s">
        <v>480</v>
      </c>
      <c r="T41" s="43" t="s">
        <v>481</v>
      </c>
      <c r="U41" s="45">
        <v>0.4166666666666667</v>
      </c>
      <c r="V41" s="45">
        <v>0.9166666666666666</v>
      </c>
      <c r="W41" s="46"/>
      <c r="X41" s="46"/>
      <c r="Y41" s="46"/>
      <c r="Z41" s="46"/>
      <c r="AA41" s="46"/>
      <c r="AB41" s="46"/>
      <c r="AC41" s="46"/>
      <c r="AD41" s="47"/>
      <c r="AE41" s="47"/>
      <c r="AF41" s="47"/>
      <c r="AG41" s="48" t="s">
        <v>342</v>
      </c>
      <c r="AH41" s="47"/>
      <c r="AI41" s="49"/>
      <c r="AJ41" s="49" t="s">
        <v>357</v>
      </c>
      <c r="AK41" s="50" t="str">
        <f>IFERROR(__xludf.DUMMYFUNCTION("""COMPUTED_VALUE"""),"50915875000868")</f>
        <v>50915875000868</v>
      </c>
    </row>
    <row r="42" ht="15.75" customHeight="1">
      <c r="A42" s="51">
        <v>45.0</v>
      </c>
      <c r="B42" s="51" t="s">
        <v>483</v>
      </c>
      <c r="C42" s="51" t="s">
        <v>217</v>
      </c>
      <c r="D42" s="51" t="s">
        <v>1374</v>
      </c>
      <c r="E42" s="51" t="s">
        <v>252</v>
      </c>
      <c r="F42" s="51" t="s">
        <v>254</v>
      </c>
      <c r="G42" s="51" t="s">
        <v>173</v>
      </c>
      <c r="H42" s="51" t="s">
        <v>486</v>
      </c>
      <c r="I42" s="51">
        <v>139.0</v>
      </c>
      <c r="J42" s="51" t="s">
        <v>486</v>
      </c>
      <c r="K42" s="51" t="s">
        <v>39</v>
      </c>
      <c r="L42" s="51" t="s">
        <v>1376</v>
      </c>
      <c r="M42" s="51" t="s">
        <v>41</v>
      </c>
      <c r="N42" s="51" t="s">
        <v>1379</v>
      </c>
      <c r="O42" s="51" t="s">
        <v>501</v>
      </c>
      <c r="P42" s="51" t="s">
        <v>298</v>
      </c>
      <c r="Q42" s="51" t="s">
        <v>491</v>
      </c>
      <c r="R42" s="51" t="s">
        <v>1381</v>
      </c>
      <c r="S42" s="51" t="s">
        <v>493</v>
      </c>
      <c r="T42" s="51" t="s">
        <v>495</v>
      </c>
      <c r="U42" s="52">
        <v>0.375</v>
      </c>
      <c r="V42" s="52">
        <v>0.7916666666666666</v>
      </c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3" t="s">
        <v>342</v>
      </c>
      <c r="AH42" s="51"/>
      <c r="AI42" s="51"/>
      <c r="AJ42" s="51" t="s">
        <v>357</v>
      </c>
      <c r="AK42" s="50" t="str">
        <f>IFERROR(__xludf.DUMMYFUNCTION("""COMPUTED_VALUE"""),"50915875006475")</f>
        <v>50915875006475</v>
      </c>
    </row>
    <row r="43" ht="15.75" customHeight="1">
      <c r="A43" s="41">
        <v>46.0</v>
      </c>
      <c r="B43" s="41" t="s">
        <v>1389</v>
      </c>
      <c r="C43" s="41" t="s">
        <v>1391</v>
      </c>
      <c r="D43" s="41" t="s">
        <v>1392</v>
      </c>
      <c r="E43" s="41" t="s">
        <v>857</v>
      </c>
      <c r="F43" s="41" t="s">
        <v>1047</v>
      </c>
      <c r="G43" s="41" t="s">
        <v>310</v>
      </c>
      <c r="H43" s="42" t="s">
        <v>98</v>
      </c>
      <c r="I43" s="42">
        <v>9403.0</v>
      </c>
      <c r="J43" s="42" t="s">
        <v>98</v>
      </c>
      <c r="K43" s="42" t="s">
        <v>546</v>
      </c>
      <c r="L43" s="42" t="s">
        <v>271</v>
      </c>
      <c r="M43" s="42" t="s">
        <v>41</v>
      </c>
      <c r="N43" s="42" t="s">
        <v>730</v>
      </c>
      <c r="O43" s="42" t="s">
        <v>434</v>
      </c>
      <c r="P43" s="42" t="s">
        <v>298</v>
      </c>
      <c r="Q43" s="43" t="s">
        <v>500</v>
      </c>
      <c r="R43" s="43"/>
      <c r="S43" s="43" t="s">
        <v>502</v>
      </c>
      <c r="T43" s="43"/>
      <c r="U43" s="45"/>
      <c r="V43" s="45"/>
      <c r="W43" s="46"/>
      <c r="X43" s="46"/>
      <c r="Y43" s="46"/>
      <c r="Z43" s="46"/>
      <c r="AA43" s="46"/>
      <c r="AB43" s="46"/>
      <c r="AC43" s="46"/>
      <c r="AD43" s="47"/>
      <c r="AE43" s="47"/>
      <c r="AF43" s="47"/>
      <c r="AG43" s="48" t="s">
        <v>342</v>
      </c>
      <c r="AH43" s="47"/>
      <c r="AI43" s="49"/>
      <c r="AJ43" s="49" t="s">
        <v>357</v>
      </c>
      <c r="AK43" s="50" t="str">
        <f>IFERROR(__xludf.DUMMYFUNCTION("""COMPUTED_VALUE"""),"50666937000179")</f>
        <v>50666937000179</v>
      </c>
    </row>
    <row r="44" ht="15.75" customHeight="1">
      <c r="A44" s="51">
        <v>47.0</v>
      </c>
      <c r="B44" s="51" t="s">
        <v>503</v>
      </c>
      <c r="C44" s="51" t="s">
        <v>1410</v>
      </c>
      <c r="D44" s="51" t="s">
        <v>509</v>
      </c>
      <c r="E44" s="51" t="s">
        <v>252</v>
      </c>
      <c r="F44" s="51" t="s">
        <v>254</v>
      </c>
      <c r="G44" s="51" t="s">
        <v>288</v>
      </c>
      <c r="H44" s="51" t="s">
        <v>505</v>
      </c>
      <c r="I44" s="51">
        <v>650.0</v>
      </c>
      <c r="J44" s="51" t="s">
        <v>505</v>
      </c>
      <c r="K44" s="51" t="s">
        <v>1416</v>
      </c>
      <c r="L44" s="51" t="s">
        <v>508</v>
      </c>
      <c r="M44" s="51" t="s">
        <v>41</v>
      </c>
      <c r="N44" s="51" t="s">
        <v>1420</v>
      </c>
      <c r="O44" s="51" t="s">
        <v>389</v>
      </c>
      <c r="P44" s="51" t="s">
        <v>298</v>
      </c>
      <c r="Q44" s="51" t="s">
        <v>511</v>
      </c>
      <c r="R44" s="51" t="s">
        <v>1422</v>
      </c>
      <c r="S44" s="51" t="s">
        <v>514</v>
      </c>
      <c r="T44" s="51" t="s">
        <v>515</v>
      </c>
      <c r="U44" s="52">
        <v>0.4166666666666667</v>
      </c>
      <c r="V44" s="52">
        <v>0.9166666666666666</v>
      </c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3" t="s">
        <v>342</v>
      </c>
      <c r="AH44" s="51"/>
      <c r="AI44" s="51"/>
      <c r="AJ44" s="51" t="s">
        <v>357</v>
      </c>
      <c r="AK44" s="50" t="str">
        <f>IFERROR(__xludf.DUMMYFUNCTION("""COMPUTED_VALUE"""),"19853593000167")</f>
        <v>19853593000167</v>
      </c>
    </row>
    <row r="45" ht="15.75" customHeight="1">
      <c r="A45" s="41">
        <v>48.0</v>
      </c>
      <c r="B45" s="41" t="s">
        <v>518</v>
      </c>
      <c r="C45" s="41" t="s">
        <v>217</v>
      </c>
      <c r="D45" s="41" t="s">
        <v>522</v>
      </c>
      <c r="E45" s="41" t="s">
        <v>252</v>
      </c>
      <c r="F45" s="41" t="s">
        <v>254</v>
      </c>
      <c r="G45" s="41" t="s">
        <v>173</v>
      </c>
      <c r="H45" s="42" t="s">
        <v>520</v>
      </c>
      <c r="I45" s="42">
        <v>50.0</v>
      </c>
      <c r="J45" s="42" t="s">
        <v>520</v>
      </c>
      <c r="K45" s="42" t="s">
        <v>39</v>
      </c>
      <c r="L45" s="42" t="s">
        <v>508</v>
      </c>
      <c r="M45" s="42" t="s">
        <v>41</v>
      </c>
      <c r="N45" s="42" t="s">
        <v>1441</v>
      </c>
      <c r="O45" s="42" t="s">
        <v>389</v>
      </c>
      <c r="P45" s="42" t="s">
        <v>298</v>
      </c>
      <c r="Q45" s="43" t="s">
        <v>523</v>
      </c>
      <c r="R45" s="43" t="s">
        <v>1442</v>
      </c>
      <c r="S45" s="43" t="s">
        <v>526</v>
      </c>
      <c r="T45" s="43" t="s">
        <v>527</v>
      </c>
      <c r="U45" s="45">
        <v>0.375</v>
      </c>
      <c r="V45" s="45">
        <v>0.7916666666666666</v>
      </c>
      <c r="W45" s="46"/>
      <c r="X45" s="46"/>
      <c r="Y45" s="46"/>
      <c r="Z45" s="46"/>
      <c r="AA45" s="46"/>
      <c r="AB45" s="46"/>
      <c r="AC45" s="46"/>
      <c r="AD45" s="47"/>
      <c r="AE45" s="47"/>
      <c r="AF45" s="47"/>
      <c r="AG45" s="48" t="s">
        <v>342</v>
      </c>
      <c r="AH45" s="47"/>
      <c r="AI45" s="49"/>
      <c r="AJ45" s="49" t="s">
        <v>357</v>
      </c>
      <c r="AK45" s="50" t="str">
        <f>IFERROR(__xludf.DUMMYFUNCTION("""COMPUTED_VALUE"""),"50915875002305")</f>
        <v>50915875002305</v>
      </c>
    </row>
    <row r="46" ht="15.75" customHeight="1">
      <c r="A46" s="51">
        <v>49.0</v>
      </c>
      <c r="B46" s="51" t="s">
        <v>529</v>
      </c>
      <c r="C46" s="51" t="s">
        <v>217</v>
      </c>
      <c r="D46" s="51" t="s">
        <v>534</v>
      </c>
      <c r="E46" s="51" t="s">
        <v>252</v>
      </c>
      <c r="F46" s="51" t="s">
        <v>254</v>
      </c>
      <c r="G46" s="51" t="s">
        <v>173</v>
      </c>
      <c r="H46" s="51" t="s">
        <v>1457</v>
      </c>
      <c r="I46" s="51">
        <v>240.0</v>
      </c>
      <c r="J46" s="51" t="s">
        <v>531</v>
      </c>
      <c r="K46" s="51" t="s">
        <v>39</v>
      </c>
      <c r="L46" s="51" t="s">
        <v>533</v>
      </c>
      <c r="M46" s="51" t="s">
        <v>41</v>
      </c>
      <c r="N46" s="51" t="s">
        <v>1460</v>
      </c>
      <c r="O46" s="51" t="s">
        <v>517</v>
      </c>
      <c r="P46" s="51" t="s">
        <v>298</v>
      </c>
      <c r="Q46" s="51" t="s">
        <v>535</v>
      </c>
      <c r="R46" s="51" t="s">
        <v>1461</v>
      </c>
      <c r="S46" s="51" t="s">
        <v>537</v>
      </c>
      <c r="T46" s="51" t="s">
        <v>538</v>
      </c>
      <c r="U46" s="52">
        <v>0.375</v>
      </c>
      <c r="V46" s="52">
        <v>0.7916666666666666</v>
      </c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3" t="s">
        <v>342</v>
      </c>
      <c r="AH46" s="51"/>
      <c r="AI46" s="51"/>
      <c r="AJ46" s="51" t="s">
        <v>357</v>
      </c>
      <c r="AK46" s="50" t="str">
        <f>IFERROR(__xludf.DUMMYFUNCTION("""COMPUTED_VALUE"""),"50915875002488")</f>
        <v>50915875002488</v>
      </c>
    </row>
    <row r="47" ht="15.75" customHeight="1">
      <c r="A47" s="41">
        <v>50.0</v>
      </c>
      <c r="B47" s="41" t="s">
        <v>1471</v>
      </c>
      <c r="C47" s="41" t="s">
        <v>1473</v>
      </c>
      <c r="D47" s="41" t="s">
        <v>542</v>
      </c>
      <c r="E47" s="41" t="s">
        <v>252</v>
      </c>
      <c r="F47" s="41" t="s">
        <v>543</v>
      </c>
      <c r="G47" s="41" t="s">
        <v>327</v>
      </c>
      <c r="H47" s="42" t="s">
        <v>109</v>
      </c>
      <c r="I47" s="42">
        <v>2200.0</v>
      </c>
      <c r="J47" s="42" t="s">
        <v>541</v>
      </c>
      <c r="K47" s="42" t="s">
        <v>576</v>
      </c>
      <c r="L47" s="42" t="s">
        <v>271</v>
      </c>
      <c r="M47" s="42" t="s">
        <v>41</v>
      </c>
      <c r="N47" s="42" t="s">
        <v>540</v>
      </c>
      <c r="O47" s="42" t="s">
        <v>510</v>
      </c>
      <c r="P47" s="42" t="s">
        <v>617</v>
      </c>
      <c r="Q47" s="43" t="s">
        <v>544</v>
      </c>
      <c r="R47" s="43" t="s">
        <v>1479</v>
      </c>
      <c r="S47" s="43"/>
      <c r="T47" s="43"/>
      <c r="U47" s="45">
        <v>0.4166666666666667</v>
      </c>
      <c r="V47" s="45">
        <v>0.9166666666666666</v>
      </c>
      <c r="W47" s="46"/>
      <c r="X47" s="46"/>
      <c r="Y47" s="46"/>
      <c r="Z47" s="46"/>
      <c r="AA47" s="46"/>
      <c r="AB47" s="46"/>
      <c r="AC47" s="46"/>
      <c r="AD47" s="47"/>
      <c r="AE47" s="47"/>
      <c r="AF47" s="47"/>
      <c r="AG47" s="48" t="s">
        <v>342</v>
      </c>
      <c r="AH47" s="47"/>
      <c r="AI47" s="49"/>
      <c r="AJ47" s="49" t="s">
        <v>357</v>
      </c>
      <c r="AK47" s="50" t="str">
        <f>IFERROR(__xludf.DUMMYFUNCTION("""COMPUTED_VALUE"""),"21400535000120")</f>
        <v>21400535000120</v>
      </c>
    </row>
    <row r="48" ht="15.75" customHeight="1">
      <c r="A48" s="51">
        <v>52.0</v>
      </c>
      <c r="B48" s="51" t="s">
        <v>1489</v>
      </c>
      <c r="C48" s="51" t="s">
        <v>1492</v>
      </c>
      <c r="D48" s="51" t="s">
        <v>1495</v>
      </c>
      <c r="E48" s="51" t="s">
        <v>252</v>
      </c>
      <c r="F48" s="51" t="s">
        <v>254</v>
      </c>
      <c r="G48" s="51" t="s">
        <v>288</v>
      </c>
      <c r="H48" s="51" t="s">
        <v>1499</v>
      </c>
      <c r="I48" s="51">
        <v>2121.0</v>
      </c>
      <c r="J48" s="51"/>
      <c r="K48" s="51" t="s">
        <v>1502</v>
      </c>
      <c r="L48" s="51" t="s">
        <v>554</v>
      </c>
      <c r="M48" s="51" t="s">
        <v>41</v>
      </c>
      <c r="N48" s="51" t="s">
        <v>1505</v>
      </c>
      <c r="O48" s="51" t="s">
        <v>410</v>
      </c>
      <c r="P48" s="51" t="s">
        <v>298</v>
      </c>
      <c r="Q48" s="51"/>
      <c r="R48" s="51"/>
      <c r="S48" s="51" t="s">
        <v>1508</v>
      </c>
      <c r="T48" s="51"/>
      <c r="U48" s="52"/>
      <c r="V48" s="52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3" t="s">
        <v>342</v>
      </c>
      <c r="AH48" s="51"/>
      <c r="AI48" s="51"/>
      <c r="AJ48" s="51"/>
      <c r="AK48" s="50" t="str">
        <f>IFERROR(__xludf.DUMMYFUNCTION("""COMPUTED_VALUE"""),"61195652000113")</f>
        <v>61195652000113</v>
      </c>
    </row>
    <row r="49" ht="15.75" customHeight="1">
      <c r="A49" s="41">
        <v>53.0</v>
      </c>
      <c r="B49" s="41" t="s">
        <v>1519</v>
      </c>
      <c r="C49" s="41" t="s">
        <v>1521</v>
      </c>
      <c r="D49" s="41" t="s">
        <v>556</v>
      </c>
      <c r="E49" s="41" t="s">
        <v>252</v>
      </c>
      <c r="F49" s="41" t="s">
        <v>254</v>
      </c>
      <c r="G49" s="41" t="s">
        <v>288</v>
      </c>
      <c r="H49" s="42" t="s">
        <v>551</v>
      </c>
      <c r="I49" s="42">
        <v>55.0</v>
      </c>
      <c r="J49" s="42" t="s">
        <v>551</v>
      </c>
      <c r="K49" s="42" t="s">
        <v>1526</v>
      </c>
      <c r="L49" s="42" t="s">
        <v>554</v>
      </c>
      <c r="M49" s="42" t="s">
        <v>41</v>
      </c>
      <c r="N49" s="42" t="s">
        <v>1529</v>
      </c>
      <c r="O49" s="42" t="s">
        <v>410</v>
      </c>
      <c r="P49" s="42" t="s">
        <v>298</v>
      </c>
      <c r="Q49" s="43" t="s">
        <v>557</v>
      </c>
      <c r="R49" s="43" t="s">
        <v>1531</v>
      </c>
      <c r="S49" s="43" t="s">
        <v>559</v>
      </c>
      <c r="T49" s="43" t="s">
        <v>560</v>
      </c>
      <c r="U49" s="45">
        <v>0.4166666666666667</v>
      </c>
      <c r="V49" s="45">
        <v>0.9166666666666666</v>
      </c>
      <c r="W49" s="46"/>
      <c r="X49" s="46"/>
      <c r="Y49" s="46"/>
      <c r="Z49" s="46"/>
      <c r="AA49" s="46"/>
      <c r="AB49" s="46"/>
      <c r="AC49" s="46"/>
      <c r="AD49" s="47"/>
      <c r="AE49" s="47"/>
      <c r="AF49" s="47"/>
      <c r="AG49" s="48" t="s">
        <v>342</v>
      </c>
      <c r="AH49" s="47"/>
      <c r="AI49" s="49"/>
      <c r="AJ49" s="49" t="s">
        <v>357</v>
      </c>
      <c r="AK49" s="50" t="str">
        <f>IFERROR(__xludf.DUMMYFUNCTION("""COMPUTED_VALUE"""),"45151240000125")</f>
        <v>45151240000125</v>
      </c>
    </row>
    <row r="50" ht="15.75" customHeight="1">
      <c r="A50" s="51">
        <v>54.0</v>
      </c>
      <c r="B50" s="51" t="s">
        <v>1554</v>
      </c>
      <c r="C50" s="51" t="s">
        <v>217</v>
      </c>
      <c r="D50" s="51" t="s">
        <v>1560</v>
      </c>
      <c r="E50" s="51" t="s">
        <v>252</v>
      </c>
      <c r="F50" s="51" t="s">
        <v>254</v>
      </c>
      <c r="G50" s="51" t="s">
        <v>173</v>
      </c>
      <c r="H50" s="51" t="s">
        <v>563</v>
      </c>
      <c r="I50" s="51">
        <v>470.0</v>
      </c>
      <c r="J50" s="51" t="s">
        <v>563</v>
      </c>
      <c r="K50" s="51" t="s">
        <v>39</v>
      </c>
      <c r="L50" s="51" t="s">
        <v>565</v>
      </c>
      <c r="M50" s="51" t="s">
        <v>41</v>
      </c>
      <c r="N50" s="51" t="s">
        <v>1574</v>
      </c>
      <c r="O50" s="51" t="s">
        <v>496</v>
      </c>
      <c r="P50" s="51" t="s">
        <v>298</v>
      </c>
      <c r="Q50" s="51" t="s">
        <v>568</v>
      </c>
      <c r="R50" s="51" t="s">
        <v>1578</v>
      </c>
      <c r="S50" s="51" t="s">
        <v>570</v>
      </c>
      <c r="T50" s="51" t="s">
        <v>571</v>
      </c>
      <c r="U50" s="52">
        <v>0.375</v>
      </c>
      <c r="V50" s="52">
        <v>0.7916666666666666</v>
      </c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3" t="s">
        <v>342</v>
      </c>
      <c r="AH50" s="51"/>
      <c r="AI50" s="51"/>
      <c r="AJ50" s="51" t="s">
        <v>357</v>
      </c>
      <c r="AK50" s="50" t="str">
        <f>IFERROR(__xludf.DUMMYFUNCTION("""COMPUTED_VALUE"""),"50915875003700")</f>
        <v>50915875003700</v>
      </c>
    </row>
    <row r="51" ht="15.75" customHeight="1">
      <c r="A51" s="41">
        <v>55.0</v>
      </c>
      <c r="B51" s="41" t="s">
        <v>1567</v>
      </c>
      <c r="C51" s="41" t="s">
        <v>1565</v>
      </c>
      <c r="D51" s="41" t="s">
        <v>577</v>
      </c>
      <c r="E51" s="41" t="s">
        <v>252</v>
      </c>
      <c r="F51" s="41" t="s">
        <v>578</v>
      </c>
      <c r="G51" s="41" t="s">
        <v>327</v>
      </c>
      <c r="H51" s="42" t="s">
        <v>330</v>
      </c>
      <c r="I51" s="42">
        <v>1001.0</v>
      </c>
      <c r="J51" s="42" t="s">
        <v>574</v>
      </c>
      <c r="K51" s="42" t="s">
        <v>332</v>
      </c>
      <c r="L51" s="42" t="s">
        <v>1052</v>
      </c>
      <c r="M51" s="42" t="s">
        <v>41</v>
      </c>
      <c r="N51" s="42" t="s">
        <v>405</v>
      </c>
      <c r="O51" s="42" t="s">
        <v>316</v>
      </c>
      <c r="P51" s="42" t="s">
        <v>595</v>
      </c>
      <c r="Q51" s="43" t="s">
        <v>579</v>
      </c>
      <c r="R51" s="43" t="s">
        <v>1612</v>
      </c>
      <c r="S51" s="43" t="s">
        <v>581</v>
      </c>
      <c r="T51" s="43"/>
      <c r="U51" s="45">
        <v>0.4166666666666667</v>
      </c>
      <c r="V51" s="45">
        <v>0.9166666666666666</v>
      </c>
      <c r="W51" s="46"/>
      <c r="X51" s="46"/>
      <c r="Y51" s="46"/>
      <c r="Z51" s="46"/>
      <c r="AA51" s="46"/>
      <c r="AB51" s="46"/>
      <c r="AC51" s="46"/>
      <c r="AD51" s="47"/>
      <c r="AE51" s="47"/>
      <c r="AF51" s="47"/>
      <c r="AG51" s="48" t="s">
        <v>342</v>
      </c>
      <c r="AH51" s="47"/>
      <c r="AI51" s="49"/>
      <c r="AJ51" s="49" t="s">
        <v>357</v>
      </c>
      <c r="AK51" s="50" t="str">
        <f>IFERROR(__xludf.DUMMYFUNCTION("""COMPUTED_VALUE"""),"31795183000102")</f>
        <v>31795183000102</v>
      </c>
    </row>
    <row r="52" ht="15.75" customHeight="1">
      <c r="A52" s="51">
        <v>56.0</v>
      </c>
      <c r="B52" s="51" t="s">
        <v>1584</v>
      </c>
      <c r="C52" s="51" t="s">
        <v>1583</v>
      </c>
      <c r="D52" s="51" t="s">
        <v>589</v>
      </c>
      <c r="E52" s="51" t="s">
        <v>252</v>
      </c>
      <c r="F52" s="51" t="s">
        <v>578</v>
      </c>
      <c r="G52" s="51" t="s">
        <v>327</v>
      </c>
      <c r="H52" s="51" t="s">
        <v>1591</v>
      </c>
      <c r="I52" s="51">
        <v>295.0</v>
      </c>
      <c r="J52" s="51" t="s">
        <v>585</v>
      </c>
      <c r="K52" s="51" t="s">
        <v>587</v>
      </c>
      <c r="L52" s="51" t="s">
        <v>588</v>
      </c>
      <c r="M52" s="51" t="s">
        <v>41</v>
      </c>
      <c r="N52" s="51" t="s">
        <v>584</v>
      </c>
      <c r="O52" s="51" t="s">
        <v>316</v>
      </c>
      <c r="P52" s="51" t="s">
        <v>595</v>
      </c>
      <c r="Q52" s="51" t="s">
        <v>590</v>
      </c>
      <c r="R52" s="51" t="s">
        <v>1636</v>
      </c>
      <c r="S52" s="51" t="s">
        <v>592</v>
      </c>
      <c r="T52" s="51"/>
      <c r="U52" s="52">
        <v>0.4166666666666667</v>
      </c>
      <c r="V52" s="52">
        <v>0.9166666666666666</v>
      </c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3" t="s">
        <v>342</v>
      </c>
      <c r="AH52" s="51"/>
      <c r="AI52" s="51"/>
      <c r="AJ52" s="51" t="s">
        <v>357</v>
      </c>
      <c r="AK52" s="50" t="str">
        <f>IFERROR(__xludf.DUMMYFUNCTION("""COMPUTED_VALUE"""),"33452971000121")</f>
        <v>33452971000121</v>
      </c>
    </row>
    <row r="53" ht="15.75" customHeight="1">
      <c r="A53" s="41">
        <v>57.0</v>
      </c>
      <c r="B53" s="41" t="s">
        <v>1596</v>
      </c>
      <c r="C53" s="41" t="s">
        <v>1595</v>
      </c>
      <c r="D53" s="41" t="s">
        <v>598</v>
      </c>
      <c r="E53" s="41" t="s">
        <v>252</v>
      </c>
      <c r="F53" s="41" t="s">
        <v>578</v>
      </c>
      <c r="G53" s="41" t="s">
        <v>327</v>
      </c>
      <c r="H53" s="42" t="s">
        <v>258</v>
      </c>
      <c r="I53" s="42">
        <v>555.0</v>
      </c>
      <c r="J53" s="42" t="s">
        <v>594</v>
      </c>
      <c r="K53" s="42" t="s">
        <v>597</v>
      </c>
      <c r="L53" s="42" t="s">
        <v>371</v>
      </c>
      <c r="M53" s="42" t="s">
        <v>41</v>
      </c>
      <c r="N53" s="42" t="s">
        <v>380</v>
      </c>
      <c r="O53" s="42" t="s">
        <v>316</v>
      </c>
      <c r="P53" s="42" t="s">
        <v>595</v>
      </c>
      <c r="Q53" s="43" t="s">
        <v>599</v>
      </c>
      <c r="R53" s="43" t="s">
        <v>1658</v>
      </c>
      <c r="S53" s="43" t="s">
        <v>602</v>
      </c>
      <c r="T53" s="43"/>
      <c r="U53" s="45">
        <v>0.4166666666666667</v>
      </c>
      <c r="V53" s="45">
        <v>0.9166666666666666</v>
      </c>
      <c r="W53" s="46"/>
      <c r="X53" s="46"/>
      <c r="Y53" s="46"/>
      <c r="Z53" s="46"/>
      <c r="AA53" s="46"/>
      <c r="AB53" s="46"/>
      <c r="AC53" s="46"/>
      <c r="AD53" s="47"/>
      <c r="AE53" s="47"/>
      <c r="AF53" s="47"/>
      <c r="AG53" s="48" t="s">
        <v>342</v>
      </c>
      <c r="AH53" s="47"/>
      <c r="AI53" s="49"/>
      <c r="AJ53" s="49" t="s">
        <v>357</v>
      </c>
      <c r="AK53" s="50" t="str">
        <f>IFERROR(__xludf.DUMMYFUNCTION("""COMPUTED_VALUE"""),"33930685000124")</f>
        <v>33930685000124</v>
      </c>
    </row>
    <row r="54" ht="15.75" customHeight="1">
      <c r="A54" s="51">
        <v>58.0</v>
      </c>
      <c r="B54" s="51" t="s">
        <v>605</v>
      </c>
      <c r="C54" s="51" t="s">
        <v>217</v>
      </c>
      <c r="D54" s="51" t="s">
        <v>1668</v>
      </c>
      <c r="E54" s="51" t="s">
        <v>252</v>
      </c>
      <c r="F54" s="51" t="s">
        <v>254</v>
      </c>
      <c r="G54" s="51" t="s">
        <v>173</v>
      </c>
      <c r="H54" s="51" t="s">
        <v>608</v>
      </c>
      <c r="I54" s="51">
        <v>1540.0</v>
      </c>
      <c r="J54" s="51" t="s">
        <v>608</v>
      </c>
      <c r="K54" s="51" t="s">
        <v>610</v>
      </c>
      <c r="L54" s="51" t="s">
        <v>565</v>
      </c>
      <c r="M54" s="51" t="s">
        <v>41</v>
      </c>
      <c r="N54" s="51" t="s">
        <v>1677</v>
      </c>
      <c r="O54" s="51" t="s">
        <v>496</v>
      </c>
      <c r="P54" s="51" t="s">
        <v>298</v>
      </c>
      <c r="Q54" s="51" t="s">
        <v>613</v>
      </c>
      <c r="R54" s="51" t="s">
        <v>1680</v>
      </c>
      <c r="S54" s="51" t="s">
        <v>615</v>
      </c>
      <c r="T54" s="51" t="s">
        <v>616</v>
      </c>
      <c r="U54" s="52">
        <v>0.4166666666666667</v>
      </c>
      <c r="V54" s="52">
        <v>0.9166666666666666</v>
      </c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3" t="s">
        <v>342</v>
      </c>
      <c r="AH54" s="51"/>
      <c r="AI54" s="51"/>
      <c r="AJ54" s="51" t="s">
        <v>357</v>
      </c>
      <c r="AK54" s="50" t="str">
        <f>IFERROR(__xludf.DUMMYFUNCTION("""COMPUTED_VALUE"""),"50915875006122")</f>
        <v>50915875006122</v>
      </c>
    </row>
    <row r="55" ht="15.75" customHeight="1">
      <c r="A55" s="41">
        <v>59.0</v>
      </c>
      <c r="B55" s="41" t="s">
        <v>1615</v>
      </c>
      <c r="C55" s="41" t="s">
        <v>1614</v>
      </c>
      <c r="D55" s="41" t="s">
        <v>624</v>
      </c>
      <c r="E55" s="41" t="s">
        <v>252</v>
      </c>
      <c r="F55" s="41" t="s">
        <v>578</v>
      </c>
      <c r="G55" s="41" t="s">
        <v>327</v>
      </c>
      <c r="H55" s="42" t="s">
        <v>620</v>
      </c>
      <c r="I55" s="42">
        <v>91.0</v>
      </c>
      <c r="J55" s="42" t="s">
        <v>620</v>
      </c>
      <c r="K55" s="42" t="s">
        <v>1618</v>
      </c>
      <c r="L55" s="42" t="s">
        <v>623</v>
      </c>
      <c r="M55" s="42" t="s">
        <v>41</v>
      </c>
      <c r="N55" s="42" t="s">
        <v>1709</v>
      </c>
      <c r="O55" s="42" t="s">
        <v>316</v>
      </c>
      <c r="P55" s="42" t="s">
        <v>595</v>
      </c>
      <c r="Q55" s="43" t="s">
        <v>625</v>
      </c>
      <c r="R55" s="43" t="s">
        <v>626</v>
      </c>
      <c r="S55" s="43" t="s">
        <v>627</v>
      </c>
      <c r="T55" s="43"/>
      <c r="U55" s="45">
        <v>0.4166666666666667</v>
      </c>
      <c r="V55" s="45">
        <v>0.9166666666666666</v>
      </c>
      <c r="W55" s="46"/>
      <c r="X55" s="46"/>
      <c r="Y55" s="46"/>
      <c r="Z55" s="46"/>
      <c r="AA55" s="46"/>
      <c r="AB55" s="46"/>
      <c r="AC55" s="46"/>
      <c r="AD55" s="47"/>
      <c r="AE55" s="47"/>
      <c r="AF55" s="47"/>
      <c r="AG55" s="48" t="s">
        <v>342</v>
      </c>
      <c r="AH55" s="47"/>
      <c r="AI55" s="49"/>
      <c r="AJ55" s="49" t="s">
        <v>357</v>
      </c>
      <c r="AK55" s="50" t="str">
        <f>IFERROR(__xludf.DUMMYFUNCTION("""COMPUTED_VALUE"""),"36204835000100")</f>
        <v>36204835000100</v>
      </c>
    </row>
    <row r="56" ht="15.75" customHeight="1">
      <c r="A56" s="51">
        <v>60.0</v>
      </c>
      <c r="B56" s="51" t="s">
        <v>1627</v>
      </c>
      <c r="C56" s="51" t="s">
        <v>1625</v>
      </c>
      <c r="D56" s="51" t="s">
        <v>631</v>
      </c>
      <c r="E56" s="51" t="s">
        <v>252</v>
      </c>
      <c r="F56" s="51" t="s">
        <v>632</v>
      </c>
      <c r="G56" s="51" t="s">
        <v>327</v>
      </c>
      <c r="H56" s="51" t="s">
        <v>258</v>
      </c>
      <c r="I56" s="51">
        <v>555.0</v>
      </c>
      <c r="J56" s="51" t="s">
        <v>630</v>
      </c>
      <c r="K56" s="51" t="s">
        <v>597</v>
      </c>
      <c r="L56" s="51" t="s">
        <v>371</v>
      </c>
      <c r="M56" s="51" t="s">
        <v>41</v>
      </c>
      <c r="N56" s="51" t="s">
        <v>380</v>
      </c>
      <c r="O56" s="51" t="s">
        <v>316</v>
      </c>
      <c r="P56" s="51" t="s">
        <v>595</v>
      </c>
      <c r="Q56" s="51" t="s">
        <v>633</v>
      </c>
      <c r="R56" s="51" t="s">
        <v>634</v>
      </c>
      <c r="S56" s="51" t="s">
        <v>635</v>
      </c>
      <c r="T56" s="51" t="s">
        <v>636</v>
      </c>
      <c r="U56" s="52">
        <v>0.4166666666666667</v>
      </c>
      <c r="V56" s="52">
        <v>0.9166666666666666</v>
      </c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3" t="s">
        <v>342</v>
      </c>
      <c r="AH56" s="51"/>
      <c r="AI56" s="51"/>
      <c r="AJ56" s="51" t="s">
        <v>357</v>
      </c>
      <c r="AK56" s="50" t="str">
        <f>IFERROR(__xludf.DUMMYFUNCTION("""COMPUTED_VALUE"""),"36191797000107")</f>
        <v>36191797000107</v>
      </c>
    </row>
    <row r="57" ht="15.75" customHeight="1">
      <c r="A57" s="41">
        <v>61.0</v>
      </c>
      <c r="B57" s="41" t="s">
        <v>638</v>
      </c>
      <c r="C57" s="41" t="s">
        <v>217</v>
      </c>
      <c r="D57" s="41" t="s">
        <v>1738</v>
      </c>
      <c r="E57" s="41" t="s">
        <v>252</v>
      </c>
      <c r="F57" s="41" t="s">
        <v>254</v>
      </c>
      <c r="G57" s="41" t="s">
        <v>173</v>
      </c>
      <c r="H57" s="42" t="s">
        <v>1645</v>
      </c>
      <c r="I57" s="42">
        <v>634.0</v>
      </c>
      <c r="J57" s="42" t="s">
        <v>640</v>
      </c>
      <c r="K57" s="42" t="s">
        <v>39</v>
      </c>
      <c r="L57" s="42" t="s">
        <v>643</v>
      </c>
      <c r="M57" s="42" t="s">
        <v>41</v>
      </c>
      <c r="N57" s="42" t="s">
        <v>1742</v>
      </c>
      <c r="O57" s="42" t="s">
        <v>444</v>
      </c>
      <c r="P57" s="42" t="s">
        <v>298</v>
      </c>
      <c r="Q57" s="43" t="s">
        <v>645</v>
      </c>
      <c r="R57" s="43" t="s">
        <v>1747</v>
      </c>
      <c r="S57" s="43" t="s">
        <v>647</v>
      </c>
      <c r="T57" s="43" t="s">
        <v>648</v>
      </c>
      <c r="U57" s="45">
        <v>0.375</v>
      </c>
      <c r="V57" s="45">
        <v>0.7916666666666666</v>
      </c>
      <c r="W57" s="46"/>
      <c r="X57" s="46"/>
      <c r="Y57" s="46"/>
      <c r="Z57" s="46"/>
      <c r="AA57" s="46"/>
      <c r="AB57" s="46"/>
      <c r="AC57" s="46"/>
      <c r="AD57" s="47"/>
      <c r="AE57" s="47"/>
      <c r="AF57" s="47"/>
      <c r="AG57" s="48" t="s">
        <v>342</v>
      </c>
      <c r="AH57" s="47"/>
      <c r="AI57" s="49"/>
      <c r="AJ57" s="49" t="s">
        <v>357</v>
      </c>
      <c r="AK57" s="50" t="str">
        <f>IFERROR(__xludf.DUMMYFUNCTION("""COMPUTED_VALUE"""),"50915875003530")</f>
        <v>50915875003530</v>
      </c>
    </row>
    <row r="58" ht="15.75" customHeight="1">
      <c r="A58" s="51">
        <v>62.0</v>
      </c>
      <c r="B58" s="51" t="s">
        <v>650</v>
      </c>
      <c r="C58" s="51" t="s">
        <v>217</v>
      </c>
      <c r="D58" s="51" t="s">
        <v>1759</v>
      </c>
      <c r="E58" s="51" t="s">
        <v>252</v>
      </c>
      <c r="F58" s="51" t="s">
        <v>254</v>
      </c>
      <c r="G58" s="51" t="s">
        <v>173</v>
      </c>
      <c r="H58" s="51" t="s">
        <v>1656</v>
      </c>
      <c r="I58" s="51">
        <v>1211.0</v>
      </c>
      <c r="J58" s="51" t="s">
        <v>652</v>
      </c>
      <c r="K58" s="51" t="s">
        <v>39</v>
      </c>
      <c r="L58" s="51" t="s">
        <v>654</v>
      </c>
      <c r="M58" s="51" t="s">
        <v>41</v>
      </c>
      <c r="N58" s="51" t="s">
        <v>1765</v>
      </c>
      <c r="O58" s="51" t="s">
        <v>444</v>
      </c>
      <c r="P58" s="51" t="s">
        <v>298</v>
      </c>
      <c r="Q58" s="51" t="s">
        <v>656</v>
      </c>
      <c r="R58" s="51" t="s">
        <v>1767</v>
      </c>
      <c r="S58" s="51" t="s">
        <v>658</v>
      </c>
      <c r="T58" s="51" t="s">
        <v>659</v>
      </c>
      <c r="U58" s="52">
        <v>0.375</v>
      </c>
      <c r="V58" s="52">
        <v>0.7916666666666666</v>
      </c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3" t="s">
        <v>342</v>
      </c>
      <c r="AH58" s="51"/>
      <c r="AI58" s="51"/>
      <c r="AJ58" s="51" t="s">
        <v>357</v>
      </c>
      <c r="AK58" s="50" t="str">
        <f>IFERROR(__xludf.DUMMYFUNCTION("""COMPUTED_VALUE"""),"50915875004693")</f>
        <v>50915875004693</v>
      </c>
    </row>
    <row r="59" ht="15.75" customHeight="1">
      <c r="A59" s="41">
        <v>63.0</v>
      </c>
      <c r="B59" s="41" t="s">
        <v>660</v>
      </c>
      <c r="C59" s="41" t="s">
        <v>217</v>
      </c>
      <c r="D59" s="41" t="s">
        <v>1780</v>
      </c>
      <c r="E59" s="41" t="s">
        <v>252</v>
      </c>
      <c r="F59" s="41" t="s">
        <v>254</v>
      </c>
      <c r="G59" s="41" t="s">
        <v>173</v>
      </c>
      <c r="H59" s="42" t="s">
        <v>662</v>
      </c>
      <c r="I59" s="42">
        <v>264.0</v>
      </c>
      <c r="J59" s="42" t="s">
        <v>662</v>
      </c>
      <c r="K59" s="42" t="s">
        <v>39</v>
      </c>
      <c r="L59" s="42" t="s">
        <v>665</v>
      </c>
      <c r="M59" s="42" t="s">
        <v>41</v>
      </c>
      <c r="N59" s="42" t="s">
        <v>1786</v>
      </c>
      <c r="O59" s="42" t="s">
        <v>444</v>
      </c>
      <c r="P59" s="42" t="s">
        <v>298</v>
      </c>
      <c r="Q59" s="43" t="s">
        <v>668</v>
      </c>
      <c r="R59" s="43" t="s">
        <v>1791</v>
      </c>
      <c r="S59" s="43" t="s">
        <v>671</v>
      </c>
      <c r="T59" s="43" t="s">
        <v>672</v>
      </c>
      <c r="U59" s="45">
        <v>0.375</v>
      </c>
      <c r="V59" s="45">
        <v>0.7916666666666666</v>
      </c>
      <c r="W59" s="46"/>
      <c r="X59" s="46"/>
      <c r="Y59" s="46"/>
      <c r="Z59" s="46"/>
      <c r="AA59" s="46"/>
      <c r="AB59" s="46"/>
      <c r="AC59" s="46"/>
      <c r="AD59" s="47"/>
      <c r="AE59" s="47"/>
      <c r="AF59" s="47"/>
      <c r="AG59" s="48" t="s">
        <v>342</v>
      </c>
      <c r="AH59" s="47"/>
      <c r="AI59" s="49"/>
      <c r="AJ59" s="49" t="s">
        <v>357</v>
      </c>
      <c r="AK59" s="50" t="str">
        <f>IFERROR(__xludf.DUMMYFUNCTION("""COMPUTED_VALUE"""),"50915875003611")</f>
        <v>50915875003611</v>
      </c>
    </row>
    <row r="60" ht="15.75" customHeight="1">
      <c r="A60" s="51">
        <v>64.0</v>
      </c>
      <c r="B60" s="51" t="s">
        <v>674</v>
      </c>
      <c r="C60" s="51" t="s">
        <v>217</v>
      </c>
      <c r="D60" s="51" t="s">
        <v>1804</v>
      </c>
      <c r="E60" s="51" t="s">
        <v>252</v>
      </c>
      <c r="F60" s="51" t="s">
        <v>254</v>
      </c>
      <c r="G60" s="51" t="s">
        <v>173</v>
      </c>
      <c r="H60" s="51" t="s">
        <v>1679</v>
      </c>
      <c r="I60" s="51">
        <v>793.0</v>
      </c>
      <c r="J60" s="51" t="s">
        <v>677</v>
      </c>
      <c r="K60" s="51" t="s">
        <v>39</v>
      </c>
      <c r="L60" s="51" t="s">
        <v>679</v>
      </c>
      <c r="M60" s="51" t="s">
        <v>41</v>
      </c>
      <c r="N60" s="51" t="s">
        <v>1813</v>
      </c>
      <c r="O60" s="51" t="s">
        <v>366</v>
      </c>
      <c r="P60" s="51" t="s">
        <v>298</v>
      </c>
      <c r="Q60" s="51" t="s">
        <v>681</v>
      </c>
      <c r="R60" s="51" t="s">
        <v>1816</v>
      </c>
      <c r="S60" s="51" t="s">
        <v>683</v>
      </c>
      <c r="T60" s="51" t="s">
        <v>684</v>
      </c>
      <c r="U60" s="52">
        <v>0.375</v>
      </c>
      <c r="V60" s="52">
        <v>0.7916666666666666</v>
      </c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3" t="s">
        <v>342</v>
      </c>
      <c r="AH60" s="51"/>
      <c r="AI60" s="51"/>
      <c r="AJ60" s="51" t="s">
        <v>357</v>
      </c>
      <c r="AK60" s="50" t="str">
        <f>IFERROR(__xludf.DUMMYFUNCTION("""COMPUTED_VALUE"""),"50915875004855")</f>
        <v>50915875004855</v>
      </c>
    </row>
    <row r="61" ht="15.75" customHeight="1">
      <c r="A61" s="41">
        <v>65.0</v>
      </c>
      <c r="B61" s="41" t="s">
        <v>685</v>
      </c>
      <c r="C61" s="41" t="s">
        <v>1687</v>
      </c>
      <c r="D61" s="41" t="s">
        <v>690</v>
      </c>
      <c r="E61" s="41" t="s">
        <v>857</v>
      </c>
      <c r="F61" s="41" t="s">
        <v>254</v>
      </c>
      <c r="G61" s="41" t="s">
        <v>215</v>
      </c>
      <c r="H61" s="42" t="s">
        <v>1695</v>
      </c>
      <c r="I61" s="42">
        <v>102.0</v>
      </c>
      <c r="J61" s="42" t="s">
        <v>687</v>
      </c>
      <c r="K61" s="42" t="s">
        <v>39</v>
      </c>
      <c r="L61" s="42" t="s">
        <v>689</v>
      </c>
      <c r="M61" s="42" t="s">
        <v>41</v>
      </c>
      <c r="N61" s="42" t="s">
        <v>1833</v>
      </c>
      <c r="O61" s="42" t="s">
        <v>366</v>
      </c>
      <c r="P61" s="42" t="s">
        <v>298</v>
      </c>
      <c r="Q61" s="43" t="s">
        <v>691</v>
      </c>
      <c r="R61" s="43" t="s">
        <v>1837</v>
      </c>
      <c r="S61" s="43" t="s">
        <v>695</v>
      </c>
      <c r="T61" s="43" t="s">
        <v>696</v>
      </c>
      <c r="U61" s="45"/>
      <c r="V61" s="45"/>
      <c r="W61" s="46"/>
      <c r="X61" s="46"/>
      <c r="Y61" s="46"/>
      <c r="Z61" s="46"/>
      <c r="AA61" s="46"/>
      <c r="AB61" s="46"/>
      <c r="AC61" s="46"/>
      <c r="AD61" s="47"/>
      <c r="AE61" s="47"/>
      <c r="AF61" s="47"/>
      <c r="AG61" s="48" t="s">
        <v>342</v>
      </c>
      <c r="AH61" s="47"/>
      <c r="AI61" s="49"/>
      <c r="AJ61" s="49" t="s">
        <v>357</v>
      </c>
      <c r="AK61" s="50" t="str">
        <f>IFERROR(__xludf.DUMMYFUNCTION("""COMPUTED_VALUE"""),"48973705001860")</f>
        <v>48973705001860</v>
      </c>
    </row>
    <row r="62" ht="15.75" customHeight="1">
      <c r="A62" s="51">
        <v>66.0</v>
      </c>
      <c r="B62" s="51" t="s">
        <v>697</v>
      </c>
      <c r="C62" s="51" t="s">
        <v>217</v>
      </c>
      <c r="D62" s="51" t="s">
        <v>1850</v>
      </c>
      <c r="E62" s="51" t="s">
        <v>252</v>
      </c>
      <c r="F62" s="51" t="s">
        <v>254</v>
      </c>
      <c r="G62" s="51" t="s">
        <v>173</v>
      </c>
      <c r="H62" s="51" t="s">
        <v>1707</v>
      </c>
      <c r="I62" s="51">
        <v>79.0</v>
      </c>
      <c r="J62" s="51" t="s">
        <v>700</v>
      </c>
      <c r="K62" s="51" t="s">
        <v>39</v>
      </c>
      <c r="L62" s="51" t="s">
        <v>702</v>
      </c>
      <c r="M62" s="51" t="s">
        <v>41</v>
      </c>
      <c r="N62" s="51" t="s">
        <v>1857</v>
      </c>
      <c r="O62" s="51" t="s">
        <v>444</v>
      </c>
      <c r="P62" s="51" t="s">
        <v>298</v>
      </c>
      <c r="Q62" s="51" t="s">
        <v>706</v>
      </c>
      <c r="R62" s="51" t="s">
        <v>1864</v>
      </c>
      <c r="S62" s="51" t="s">
        <v>708</v>
      </c>
      <c r="T62" s="51" t="s">
        <v>710</v>
      </c>
      <c r="U62" s="52">
        <v>0.375</v>
      </c>
      <c r="V62" s="52">
        <v>0.7916666666666666</v>
      </c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3" t="s">
        <v>342</v>
      </c>
      <c r="AH62" s="51"/>
      <c r="AI62" s="51"/>
      <c r="AJ62" s="51" t="s">
        <v>357</v>
      </c>
      <c r="AK62" s="50" t="str">
        <f>IFERROR(__xludf.DUMMYFUNCTION("""COMPUTED_VALUE"""),"50915875004006")</f>
        <v>50915875004006</v>
      </c>
    </row>
    <row r="63" ht="15.75" customHeight="1">
      <c r="A63" s="41">
        <v>67.0</v>
      </c>
      <c r="B63" s="41" t="s">
        <v>711</v>
      </c>
      <c r="C63" s="41" t="s">
        <v>217</v>
      </c>
      <c r="D63" s="41" t="s">
        <v>716</v>
      </c>
      <c r="E63" s="41" t="s">
        <v>252</v>
      </c>
      <c r="F63" s="41" t="s">
        <v>254</v>
      </c>
      <c r="G63" s="41" t="s">
        <v>173</v>
      </c>
      <c r="H63" s="42" t="s">
        <v>713</v>
      </c>
      <c r="I63" s="42">
        <v>500.0</v>
      </c>
      <c r="J63" s="42" t="s">
        <v>713</v>
      </c>
      <c r="K63" s="42" t="s">
        <v>715</v>
      </c>
      <c r="L63" s="42" t="s">
        <v>271</v>
      </c>
      <c r="M63" s="42" t="s">
        <v>41</v>
      </c>
      <c r="N63" s="42" t="s">
        <v>1881</v>
      </c>
      <c r="O63" s="42" t="s">
        <v>484</v>
      </c>
      <c r="P63" s="42" t="s">
        <v>298</v>
      </c>
      <c r="Q63" s="43" t="s">
        <v>717</v>
      </c>
      <c r="R63" s="43" t="s">
        <v>1884</v>
      </c>
      <c r="S63" s="43" t="s">
        <v>719</v>
      </c>
      <c r="T63" s="43" t="s">
        <v>720</v>
      </c>
      <c r="U63" s="45">
        <v>0.4166666666666667</v>
      </c>
      <c r="V63" s="45">
        <v>0.9166666666666666</v>
      </c>
      <c r="W63" s="46"/>
      <c r="X63" s="46"/>
      <c r="Y63" s="46"/>
      <c r="Z63" s="46"/>
      <c r="AA63" s="46"/>
      <c r="AB63" s="46"/>
      <c r="AC63" s="46"/>
      <c r="AD63" s="47"/>
      <c r="AE63" s="47"/>
      <c r="AF63" s="47"/>
      <c r="AG63" s="48" t="s">
        <v>342</v>
      </c>
      <c r="AH63" s="47"/>
      <c r="AI63" s="49"/>
      <c r="AJ63" s="49" t="s">
        <v>357</v>
      </c>
      <c r="AK63" s="50" t="str">
        <f>IFERROR(__xludf.DUMMYFUNCTION("""COMPUTED_VALUE"""),"50915875001163")</f>
        <v>50915875001163</v>
      </c>
    </row>
    <row r="64" ht="15.75" customHeight="1">
      <c r="A64" s="51">
        <v>68.0</v>
      </c>
      <c r="B64" s="51" t="s">
        <v>1725</v>
      </c>
      <c r="C64" s="51" t="s">
        <v>217</v>
      </c>
      <c r="D64" s="51" t="s">
        <v>1895</v>
      </c>
      <c r="E64" s="51" t="s">
        <v>252</v>
      </c>
      <c r="F64" s="51" t="s">
        <v>254</v>
      </c>
      <c r="G64" s="51" t="s">
        <v>173</v>
      </c>
      <c r="H64" s="51" t="s">
        <v>1730</v>
      </c>
      <c r="I64" s="51">
        <v>5.0</v>
      </c>
      <c r="J64" s="51" t="s">
        <v>723</v>
      </c>
      <c r="K64" s="51" t="s">
        <v>39</v>
      </c>
      <c r="L64" s="51" t="s">
        <v>554</v>
      </c>
      <c r="M64" s="51" t="s">
        <v>41</v>
      </c>
      <c r="N64" s="51" t="s">
        <v>1902</v>
      </c>
      <c r="O64" s="51" t="s">
        <v>410</v>
      </c>
      <c r="P64" s="51" t="s">
        <v>298</v>
      </c>
      <c r="Q64" s="51" t="s">
        <v>727</v>
      </c>
      <c r="R64" s="51" t="s">
        <v>1904</v>
      </c>
      <c r="S64" s="51" t="s">
        <v>729</v>
      </c>
      <c r="T64" s="51" t="s">
        <v>731</v>
      </c>
      <c r="U64" s="52">
        <v>0.375</v>
      </c>
      <c r="V64" s="52">
        <v>0.75</v>
      </c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3" t="s">
        <v>342</v>
      </c>
      <c r="AH64" s="51"/>
      <c r="AI64" s="51"/>
      <c r="AJ64" s="51" t="s">
        <v>357</v>
      </c>
      <c r="AK64" s="50" t="str">
        <f>IFERROR(__xludf.DUMMYFUNCTION("""COMPUTED_VALUE"""),"50915875004502")</f>
        <v>50915875004502</v>
      </c>
    </row>
    <row r="65" ht="15.75" customHeight="1">
      <c r="A65" s="41">
        <v>69.0</v>
      </c>
      <c r="B65" s="41" t="s">
        <v>1739</v>
      </c>
      <c r="C65" s="41" t="s">
        <v>1687</v>
      </c>
      <c r="D65" s="41" t="s">
        <v>1918</v>
      </c>
      <c r="E65" s="41" t="s">
        <v>857</v>
      </c>
      <c r="F65" s="41" t="s">
        <v>254</v>
      </c>
      <c r="G65" s="41" t="s">
        <v>215</v>
      </c>
      <c r="H65" s="42" t="s">
        <v>1656</v>
      </c>
      <c r="I65" s="42">
        <v>1118.0</v>
      </c>
      <c r="J65" s="42"/>
      <c r="K65" s="42" t="s">
        <v>39</v>
      </c>
      <c r="L65" s="42" t="s">
        <v>654</v>
      </c>
      <c r="M65" s="42" t="s">
        <v>41</v>
      </c>
      <c r="N65" s="42" t="s">
        <v>1928</v>
      </c>
      <c r="O65" s="42" t="s">
        <v>366</v>
      </c>
      <c r="P65" s="42" t="s">
        <v>298</v>
      </c>
      <c r="Q65" s="43"/>
      <c r="R65" s="43"/>
      <c r="S65" s="43" t="s">
        <v>1743</v>
      </c>
      <c r="T65" s="43"/>
      <c r="U65" s="45"/>
      <c r="V65" s="45"/>
      <c r="W65" s="46"/>
      <c r="X65" s="46"/>
      <c r="Y65" s="46"/>
      <c r="Z65" s="46"/>
      <c r="AA65" s="46"/>
      <c r="AB65" s="46"/>
      <c r="AC65" s="46"/>
      <c r="AD65" s="47"/>
      <c r="AE65" s="47"/>
      <c r="AF65" s="47"/>
      <c r="AG65" s="48" t="s">
        <v>342</v>
      </c>
      <c r="AH65" s="47"/>
      <c r="AI65" s="49"/>
      <c r="AJ65" s="49"/>
      <c r="AK65" s="50" t="str">
        <f>IFERROR(__xludf.DUMMYFUNCTION("""COMPUTED_VALUE"""),"48973705002831")</f>
        <v>48973705002831</v>
      </c>
    </row>
    <row r="66" ht="15.75" customHeight="1">
      <c r="A66" s="51">
        <v>70.0</v>
      </c>
      <c r="B66" s="51" t="s">
        <v>1748</v>
      </c>
      <c r="C66" s="51" t="s">
        <v>1746</v>
      </c>
      <c r="D66" s="51" t="s">
        <v>736</v>
      </c>
      <c r="E66" s="51" t="s">
        <v>252</v>
      </c>
      <c r="F66" s="51" t="s">
        <v>632</v>
      </c>
      <c r="G66" s="51" t="s">
        <v>327</v>
      </c>
      <c r="H66" s="51" t="s">
        <v>98</v>
      </c>
      <c r="I66" s="51">
        <v>9403.0</v>
      </c>
      <c r="J66" s="51" t="s">
        <v>734</v>
      </c>
      <c r="K66" s="51" t="s">
        <v>546</v>
      </c>
      <c r="L66" s="51" t="s">
        <v>271</v>
      </c>
      <c r="M66" s="51" t="s">
        <v>41</v>
      </c>
      <c r="N66" s="51" t="s">
        <v>730</v>
      </c>
      <c r="O66" s="51" t="s">
        <v>316</v>
      </c>
      <c r="P66" s="51" t="s">
        <v>595</v>
      </c>
      <c r="Q66" s="51" t="s">
        <v>737</v>
      </c>
      <c r="R66" s="51" t="s">
        <v>1959</v>
      </c>
      <c r="S66" s="51" t="s">
        <v>739</v>
      </c>
      <c r="T66" s="51" t="s">
        <v>740</v>
      </c>
      <c r="U66" s="52">
        <v>0.4166666666666667</v>
      </c>
      <c r="V66" s="52">
        <v>0.9166666666666666</v>
      </c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3" t="s">
        <v>342</v>
      </c>
      <c r="AH66" s="51"/>
      <c r="AI66" s="51"/>
      <c r="AJ66" s="51" t="s">
        <v>357</v>
      </c>
      <c r="AK66" s="50" t="str">
        <f>IFERROR(__xludf.DUMMYFUNCTION("""COMPUTED_VALUE"""),"48145491000195")</f>
        <v>48145491000195</v>
      </c>
    </row>
    <row r="67" ht="15.75" customHeight="1">
      <c r="A67" s="41">
        <v>71.0</v>
      </c>
      <c r="B67" s="41" t="s">
        <v>1758</v>
      </c>
      <c r="C67" s="41" t="s">
        <v>1755</v>
      </c>
      <c r="D67" s="41" t="s">
        <v>746</v>
      </c>
      <c r="E67" s="41" t="s">
        <v>252</v>
      </c>
      <c r="F67" s="41" t="s">
        <v>632</v>
      </c>
      <c r="G67" s="41" t="s">
        <v>327</v>
      </c>
      <c r="H67" s="42" t="s">
        <v>230</v>
      </c>
      <c r="I67" s="42">
        <v>227.0</v>
      </c>
      <c r="J67" s="42" t="s">
        <v>743</v>
      </c>
      <c r="K67" s="42" t="s">
        <v>231</v>
      </c>
      <c r="L67" s="42" t="s">
        <v>271</v>
      </c>
      <c r="M67" s="42" t="s">
        <v>41</v>
      </c>
      <c r="N67" s="42" t="s">
        <v>742</v>
      </c>
      <c r="O67" s="42" t="s">
        <v>316</v>
      </c>
      <c r="P67" s="42" t="s">
        <v>595</v>
      </c>
      <c r="Q67" s="43" t="s">
        <v>747</v>
      </c>
      <c r="R67" s="43" t="s">
        <v>1981</v>
      </c>
      <c r="S67" s="43" t="s">
        <v>749</v>
      </c>
      <c r="T67" s="43" t="s">
        <v>750</v>
      </c>
      <c r="U67" s="45">
        <v>0.4166666666666667</v>
      </c>
      <c r="V67" s="45">
        <v>0.9166666666666666</v>
      </c>
      <c r="W67" s="46"/>
      <c r="X67" s="46"/>
      <c r="Y67" s="46"/>
      <c r="Z67" s="46"/>
      <c r="AA67" s="46"/>
      <c r="AB67" s="46"/>
      <c r="AC67" s="46"/>
      <c r="AD67" s="47"/>
      <c r="AE67" s="47"/>
      <c r="AF67" s="47"/>
      <c r="AG67" s="48" t="s">
        <v>342</v>
      </c>
      <c r="AH67" s="47"/>
      <c r="AI67" s="49"/>
      <c r="AJ67" s="49" t="s">
        <v>357</v>
      </c>
      <c r="AK67" s="50" t="str">
        <f>IFERROR(__xludf.DUMMYFUNCTION("""COMPUTED_VALUE"""),"48277781000192")</f>
        <v>48277781000192</v>
      </c>
    </row>
    <row r="68" ht="15.75" customHeight="1">
      <c r="A68" s="51">
        <v>72.0</v>
      </c>
      <c r="B68" s="51" t="s">
        <v>1770</v>
      </c>
      <c r="C68" s="51" t="s">
        <v>217</v>
      </c>
      <c r="D68" s="51" t="s">
        <v>2004</v>
      </c>
      <c r="E68" s="51" t="s">
        <v>252</v>
      </c>
      <c r="F68" s="51" t="s">
        <v>254</v>
      </c>
      <c r="G68" s="51" t="s">
        <v>173</v>
      </c>
      <c r="H68" s="51" t="s">
        <v>1775</v>
      </c>
      <c r="I68" s="51">
        <v>1500.0</v>
      </c>
      <c r="J68" s="51" t="s">
        <v>754</v>
      </c>
      <c r="K68" s="51" t="s">
        <v>756</v>
      </c>
      <c r="L68" s="51" t="s">
        <v>565</v>
      </c>
      <c r="M68" s="51" t="s">
        <v>41</v>
      </c>
      <c r="N68" s="51" t="s">
        <v>2012</v>
      </c>
      <c r="O68" s="51" t="s">
        <v>496</v>
      </c>
      <c r="P68" s="51" t="s">
        <v>298</v>
      </c>
      <c r="Q68" s="51"/>
      <c r="R68" s="51" t="s">
        <v>2014</v>
      </c>
      <c r="S68" s="51" t="s">
        <v>760</v>
      </c>
      <c r="T68" s="51" t="s">
        <v>761</v>
      </c>
      <c r="U68" s="52">
        <v>0.4166666666666667</v>
      </c>
      <c r="V68" s="52">
        <v>0.9166666666666666</v>
      </c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3" t="s">
        <v>342</v>
      </c>
      <c r="AH68" s="51"/>
      <c r="AI68" s="51"/>
      <c r="AJ68" s="51" t="s">
        <v>357</v>
      </c>
      <c r="AK68" s="50" t="str">
        <f>IFERROR(__xludf.DUMMYFUNCTION("""COMPUTED_VALUE"""),"50915875005312")</f>
        <v>50915875005312</v>
      </c>
    </row>
    <row r="69" ht="15.75" customHeight="1">
      <c r="A69" s="41">
        <v>73.0</v>
      </c>
      <c r="B69" s="41" t="s">
        <v>1782</v>
      </c>
      <c r="C69" s="41" t="s">
        <v>1746</v>
      </c>
      <c r="D69" s="41" t="s">
        <v>765</v>
      </c>
      <c r="E69" s="41" t="s">
        <v>252</v>
      </c>
      <c r="F69" s="41" t="s">
        <v>632</v>
      </c>
      <c r="G69" s="41" t="s">
        <v>327</v>
      </c>
      <c r="H69" s="42" t="s">
        <v>713</v>
      </c>
      <c r="I69" s="42">
        <v>500.0</v>
      </c>
      <c r="J69" s="42" t="s">
        <v>764</v>
      </c>
      <c r="K69" s="42" t="s">
        <v>715</v>
      </c>
      <c r="L69" s="42" t="s">
        <v>271</v>
      </c>
      <c r="M69" s="42" t="s">
        <v>41</v>
      </c>
      <c r="N69" s="42" t="s">
        <v>1881</v>
      </c>
      <c r="O69" s="42" t="s">
        <v>316</v>
      </c>
      <c r="P69" s="42" t="s">
        <v>595</v>
      </c>
      <c r="Q69" s="43" t="s">
        <v>766</v>
      </c>
      <c r="R69" s="43" t="s">
        <v>2017</v>
      </c>
      <c r="S69" s="43" t="s">
        <v>771</v>
      </c>
      <c r="T69" s="43" t="s">
        <v>772</v>
      </c>
      <c r="U69" s="45">
        <v>0.4166666666666667</v>
      </c>
      <c r="V69" s="45">
        <v>0.9166666666666666</v>
      </c>
      <c r="W69" s="46"/>
      <c r="X69" s="46"/>
      <c r="Y69" s="46"/>
      <c r="Z69" s="46"/>
      <c r="AA69" s="46"/>
      <c r="AB69" s="46"/>
      <c r="AC69" s="46"/>
      <c r="AD69" s="47"/>
      <c r="AE69" s="47"/>
      <c r="AF69" s="47"/>
      <c r="AG69" s="48" t="s">
        <v>342</v>
      </c>
      <c r="AH69" s="47"/>
      <c r="AI69" s="49"/>
      <c r="AJ69" s="49" t="s">
        <v>357</v>
      </c>
      <c r="AK69" s="50" t="str">
        <f>IFERROR(__xludf.DUMMYFUNCTION("""COMPUTED_VALUE"""),"48145491000276")</f>
        <v>48145491000276</v>
      </c>
    </row>
    <row r="70" ht="15.75" customHeight="1">
      <c r="A70" s="51">
        <v>74.0</v>
      </c>
      <c r="B70" s="51" t="s">
        <v>1793</v>
      </c>
      <c r="C70" s="51" t="s">
        <v>217</v>
      </c>
      <c r="D70" s="51" t="s">
        <v>2022</v>
      </c>
      <c r="E70" s="51" t="s">
        <v>252</v>
      </c>
      <c r="F70" s="51" t="s">
        <v>254</v>
      </c>
      <c r="G70" s="51" t="s">
        <v>173</v>
      </c>
      <c r="H70" s="51" t="s">
        <v>1800</v>
      </c>
      <c r="I70" s="51">
        <v>722.0</v>
      </c>
      <c r="J70" s="51" t="s">
        <v>777</v>
      </c>
      <c r="K70" s="51" t="s">
        <v>1798</v>
      </c>
      <c r="L70" s="51" t="s">
        <v>654</v>
      </c>
      <c r="M70" s="51" t="s">
        <v>41</v>
      </c>
      <c r="N70" s="51" t="s">
        <v>1797</v>
      </c>
      <c r="O70" s="51" t="s">
        <v>444</v>
      </c>
      <c r="P70" s="51" t="s">
        <v>298</v>
      </c>
      <c r="Q70" s="51" t="s">
        <v>781</v>
      </c>
      <c r="R70" s="51" t="s">
        <v>2026</v>
      </c>
      <c r="S70" s="51" t="s">
        <v>787</v>
      </c>
      <c r="T70" s="51" t="s">
        <v>788</v>
      </c>
      <c r="U70" s="52">
        <v>0.4166666666666667</v>
      </c>
      <c r="V70" s="52">
        <v>0.9166666666666666</v>
      </c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3" t="s">
        <v>342</v>
      </c>
      <c r="AH70" s="51"/>
      <c r="AI70" s="51"/>
      <c r="AJ70" s="51" t="s">
        <v>357</v>
      </c>
      <c r="AK70" s="50" t="str">
        <f>IFERROR(__xludf.DUMMYFUNCTION("""COMPUTED_VALUE"""),"50915875005746")</f>
        <v>50915875005746</v>
      </c>
    </row>
    <row r="71" ht="15.75" customHeight="1">
      <c r="A71" s="41">
        <v>75.0</v>
      </c>
      <c r="B71" s="41" t="s">
        <v>1807</v>
      </c>
      <c r="C71" s="41" t="s">
        <v>217</v>
      </c>
      <c r="D71" s="41" t="s">
        <v>797</v>
      </c>
      <c r="E71" s="41" t="s">
        <v>252</v>
      </c>
      <c r="F71" s="41" t="s">
        <v>254</v>
      </c>
      <c r="G71" s="41" t="s">
        <v>173</v>
      </c>
      <c r="H71" s="42" t="s">
        <v>1812</v>
      </c>
      <c r="I71" s="42">
        <v>5.0</v>
      </c>
      <c r="J71" s="42" t="s">
        <v>793</v>
      </c>
      <c r="K71" s="42" t="s">
        <v>794</v>
      </c>
      <c r="L71" s="42" t="s">
        <v>796</v>
      </c>
      <c r="M71" s="42" t="s">
        <v>41</v>
      </c>
      <c r="N71" s="42" t="s">
        <v>1809</v>
      </c>
      <c r="O71" s="42" t="s">
        <v>517</v>
      </c>
      <c r="P71" s="42" t="s">
        <v>298</v>
      </c>
      <c r="Q71" s="43" t="s">
        <v>500</v>
      </c>
      <c r="R71" s="43" t="s">
        <v>2032</v>
      </c>
      <c r="S71" s="43" t="s">
        <v>802</v>
      </c>
      <c r="T71" s="43" t="s">
        <v>803</v>
      </c>
      <c r="U71" s="45">
        <v>0.4166666666666667</v>
      </c>
      <c r="V71" s="45">
        <v>0.9166666666666666</v>
      </c>
      <c r="W71" s="46"/>
      <c r="X71" s="46"/>
      <c r="Y71" s="46"/>
      <c r="Z71" s="46"/>
      <c r="AA71" s="46"/>
      <c r="AB71" s="46"/>
      <c r="AC71" s="46"/>
      <c r="AD71" s="47"/>
      <c r="AE71" s="47"/>
      <c r="AF71" s="47"/>
      <c r="AG71" s="48" t="s">
        <v>342</v>
      </c>
      <c r="AH71" s="47"/>
      <c r="AI71" s="49"/>
      <c r="AJ71" s="49" t="s">
        <v>357</v>
      </c>
      <c r="AK71" s="50" t="str">
        <f>IFERROR(__xludf.DUMMYFUNCTION("""COMPUTED_VALUE"""),"50915875003450")</f>
        <v>50915875003450</v>
      </c>
    </row>
    <row r="72" ht="15.75" customHeight="1">
      <c r="A72" s="51">
        <v>76.0</v>
      </c>
      <c r="B72" s="51" t="s">
        <v>1823</v>
      </c>
      <c r="C72" s="51" t="s">
        <v>1391</v>
      </c>
      <c r="D72" s="51" t="s">
        <v>499</v>
      </c>
      <c r="E72" s="51" t="s">
        <v>252</v>
      </c>
      <c r="F72" s="51" t="s">
        <v>254</v>
      </c>
      <c r="G72" s="51" t="s">
        <v>288</v>
      </c>
      <c r="H72" s="51" t="s">
        <v>1827</v>
      </c>
      <c r="I72" s="51">
        <v>459.0</v>
      </c>
      <c r="J72" s="51" t="s">
        <v>806</v>
      </c>
      <c r="K72" s="51" t="s">
        <v>808</v>
      </c>
      <c r="L72" s="51" t="s">
        <v>271</v>
      </c>
      <c r="M72" s="51" t="s">
        <v>41</v>
      </c>
      <c r="N72" s="51" t="s">
        <v>2036</v>
      </c>
      <c r="O72" s="51" t="s">
        <v>295</v>
      </c>
      <c r="P72" s="51" t="s">
        <v>298</v>
      </c>
      <c r="Q72" s="51" t="s">
        <v>809</v>
      </c>
      <c r="R72" s="51" t="s">
        <v>2038</v>
      </c>
      <c r="S72" s="51" t="s">
        <v>811</v>
      </c>
      <c r="T72" s="51" t="s">
        <v>812</v>
      </c>
      <c r="U72" s="52">
        <v>0.375</v>
      </c>
      <c r="V72" s="52">
        <v>0.7916666666666666</v>
      </c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3" t="s">
        <v>342</v>
      </c>
      <c r="AH72" s="51"/>
      <c r="AI72" s="51"/>
      <c r="AJ72" s="51" t="s">
        <v>357</v>
      </c>
      <c r="AK72" s="50" t="str">
        <f>IFERROR(__xludf.DUMMYFUNCTION("""COMPUTED_VALUE"""),"09332225000110")</f>
        <v>09332225000110</v>
      </c>
    </row>
    <row r="73" ht="15.75" customHeight="1">
      <c r="A73" s="41">
        <v>77.0</v>
      </c>
      <c r="B73" s="41" t="s">
        <v>1834</v>
      </c>
      <c r="C73" s="41" t="s">
        <v>217</v>
      </c>
      <c r="D73" s="41" t="s">
        <v>2040</v>
      </c>
      <c r="E73" s="41" t="s">
        <v>252</v>
      </c>
      <c r="F73" s="41" t="s">
        <v>254</v>
      </c>
      <c r="G73" s="41" t="s">
        <v>173</v>
      </c>
      <c r="H73" s="42" t="s">
        <v>817</v>
      </c>
      <c r="I73" s="42">
        <v>6000.0</v>
      </c>
      <c r="J73" s="42" t="s">
        <v>817</v>
      </c>
      <c r="K73" s="42" t="s">
        <v>819</v>
      </c>
      <c r="L73" s="42" t="s">
        <v>820</v>
      </c>
      <c r="M73" s="42" t="s">
        <v>41</v>
      </c>
      <c r="N73" s="42" t="s">
        <v>2041</v>
      </c>
      <c r="O73" s="42" t="s">
        <v>444</v>
      </c>
      <c r="P73" s="42" t="s">
        <v>298</v>
      </c>
      <c r="Q73" s="43"/>
      <c r="R73" s="43" t="s">
        <v>2043</v>
      </c>
      <c r="S73" s="43" t="s">
        <v>823</v>
      </c>
      <c r="T73" s="43" t="s">
        <v>824</v>
      </c>
      <c r="U73" s="45">
        <v>0.4166666666666667</v>
      </c>
      <c r="V73" s="45">
        <v>0.9166666666666666</v>
      </c>
      <c r="W73" s="46"/>
      <c r="X73" s="46"/>
      <c r="Y73" s="46"/>
      <c r="Z73" s="46"/>
      <c r="AA73" s="46"/>
      <c r="AB73" s="46"/>
      <c r="AC73" s="46"/>
      <c r="AD73" s="47"/>
      <c r="AE73" s="47"/>
      <c r="AF73" s="47"/>
      <c r="AG73" s="48" t="s">
        <v>342</v>
      </c>
      <c r="AH73" s="47"/>
      <c r="AI73" s="49"/>
      <c r="AJ73" s="49" t="s">
        <v>357</v>
      </c>
      <c r="AK73" s="50" t="str">
        <f>IFERROR(__xludf.DUMMYFUNCTION("""COMPUTED_VALUE"""),"50915875005584")</f>
        <v>50915875005584</v>
      </c>
    </row>
    <row r="74" ht="15.75" customHeight="1">
      <c r="A74" s="51">
        <v>78.0</v>
      </c>
      <c r="B74" s="51" t="s">
        <v>1845</v>
      </c>
      <c r="C74" s="51" t="s">
        <v>217</v>
      </c>
      <c r="D74" s="51" t="s">
        <v>2046</v>
      </c>
      <c r="E74" s="51" t="s">
        <v>252</v>
      </c>
      <c r="F74" s="51" t="s">
        <v>254</v>
      </c>
      <c r="G74" s="51" t="s">
        <v>173</v>
      </c>
      <c r="H74" s="51" t="s">
        <v>827</v>
      </c>
      <c r="I74" s="51">
        <v>1139.0</v>
      </c>
      <c r="J74" s="51" t="s">
        <v>827</v>
      </c>
      <c r="K74" s="51" t="s">
        <v>1849</v>
      </c>
      <c r="L74" s="51" t="s">
        <v>554</v>
      </c>
      <c r="M74" s="51" t="s">
        <v>41</v>
      </c>
      <c r="N74" s="51" t="s">
        <v>2047</v>
      </c>
      <c r="O74" s="51" t="s">
        <v>410</v>
      </c>
      <c r="P74" s="51" t="s">
        <v>298</v>
      </c>
      <c r="Q74" s="51"/>
      <c r="R74" s="51" t="s">
        <v>2049</v>
      </c>
      <c r="S74" s="51" t="s">
        <v>835</v>
      </c>
      <c r="T74" s="51" t="s">
        <v>836</v>
      </c>
      <c r="U74" s="52">
        <v>0.4166666666666667</v>
      </c>
      <c r="V74" s="52">
        <v>0.9166666666666666</v>
      </c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3" t="s">
        <v>342</v>
      </c>
      <c r="AH74" s="51"/>
      <c r="AI74" s="51"/>
      <c r="AJ74" s="51" t="s">
        <v>357</v>
      </c>
      <c r="AK74" s="50" t="str">
        <f>IFERROR(__xludf.DUMMYFUNCTION("""COMPUTED_VALUE"""),"50915875005665")</f>
        <v>50915875005665</v>
      </c>
    </row>
    <row r="75" ht="15.75" customHeight="1">
      <c r="A75" s="41">
        <v>79.0</v>
      </c>
      <c r="B75" s="41" t="s">
        <v>1858</v>
      </c>
      <c r="C75" s="41" t="s">
        <v>1492</v>
      </c>
      <c r="D75" s="41" t="s">
        <v>2052</v>
      </c>
      <c r="E75" s="41" t="s">
        <v>857</v>
      </c>
      <c r="F75" s="41" t="s">
        <v>254</v>
      </c>
      <c r="G75" s="41" t="s">
        <v>288</v>
      </c>
      <c r="H75" s="42" t="s">
        <v>1863</v>
      </c>
      <c r="I75" s="42">
        <v>360.0</v>
      </c>
      <c r="J75" s="42"/>
      <c r="K75" s="42" t="s">
        <v>39</v>
      </c>
      <c r="L75" s="42" t="s">
        <v>1861</v>
      </c>
      <c r="M75" s="42" t="s">
        <v>41</v>
      </c>
      <c r="N75" s="42" t="s">
        <v>2053</v>
      </c>
      <c r="O75" s="42" t="s">
        <v>501</v>
      </c>
      <c r="P75" s="42" t="s">
        <v>298</v>
      </c>
      <c r="Q75" s="43"/>
      <c r="R75" s="43"/>
      <c r="S75" s="43" t="s">
        <v>1867</v>
      </c>
      <c r="T75" s="43"/>
      <c r="U75" s="45"/>
      <c r="V75" s="45"/>
      <c r="W75" s="46"/>
      <c r="X75" s="46"/>
      <c r="Y75" s="46"/>
      <c r="Z75" s="46"/>
      <c r="AA75" s="46"/>
      <c r="AB75" s="46"/>
      <c r="AC75" s="46"/>
      <c r="AD75" s="47"/>
      <c r="AE75" s="47"/>
      <c r="AF75" s="47"/>
      <c r="AG75" s="48" t="s">
        <v>342</v>
      </c>
      <c r="AH75" s="47"/>
      <c r="AI75" s="49"/>
      <c r="AJ75" s="49"/>
      <c r="AK75" s="50" t="str">
        <f>IFERROR(__xludf.DUMMYFUNCTION("""COMPUTED_VALUE"""),"61195652000202")</f>
        <v>61195652000202</v>
      </c>
    </row>
    <row r="76" ht="15.75" customHeight="1">
      <c r="A76" s="51">
        <v>90.0</v>
      </c>
      <c r="B76" s="51" t="s">
        <v>1871</v>
      </c>
      <c r="C76" s="51" t="s">
        <v>1869</v>
      </c>
      <c r="D76" s="51" t="s">
        <v>2054</v>
      </c>
      <c r="E76" s="51" t="s">
        <v>857</v>
      </c>
      <c r="F76" s="51" t="s">
        <v>359</v>
      </c>
      <c r="G76" s="51" t="s">
        <v>124</v>
      </c>
      <c r="H76" s="51" t="s">
        <v>1873</v>
      </c>
      <c r="I76" s="51">
        <v>1.0</v>
      </c>
      <c r="J76" s="51"/>
      <c r="K76" s="51" t="s">
        <v>39</v>
      </c>
      <c r="L76" s="51" t="s">
        <v>1052</v>
      </c>
      <c r="M76" s="51" t="s">
        <v>41</v>
      </c>
      <c r="N76" s="51" t="s">
        <v>2058</v>
      </c>
      <c r="O76" s="51"/>
      <c r="P76" s="51"/>
      <c r="Q76" s="51"/>
      <c r="R76" s="51"/>
      <c r="S76" s="51"/>
      <c r="T76" s="51"/>
      <c r="U76" s="52"/>
      <c r="V76" s="52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3" t="s">
        <v>342</v>
      </c>
      <c r="AH76" s="51"/>
      <c r="AI76" s="51"/>
      <c r="AJ76" s="51"/>
      <c r="AK76" s="50" t="str">
        <f>IFERROR(__xludf.DUMMYFUNCTION("""COMPUTED_VALUE"""),"43144476000109")</f>
        <v>43144476000109</v>
      </c>
    </row>
    <row r="77" ht="15.75" customHeight="1">
      <c r="A77" s="41">
        <v>92.0</v>
      </c>
      <c r="B77" s="41" t="s">
        <v>1877</v>
      </c>
      <c r="C77" s="41" t="s">
        <v>1015</v>
      </c>
      <c r="D77" s="41" t="s">
        <v>2060</v>
      </c>
      <c r="E77" s="41" t="s">
        <v>252</v>
      </c>
      <c r="F77" s="41" t="s">
        <v>1880</v>
      </c>
      <c r="G77" s="41" t="s">
        <v>124</v>
      </c>
      <c r="H77" s="42" t="s">
        <v>1020</v>
      </c>
      <c r="I77" s="42">
        <v>123.0</v>
      </c>
      <c r="J77" s="42"/>
      <c r="K77" s="42" t="s">
        <v>1023</v>
      </c>
      <c r="L77" s="42" t="s">
        <v>271</v>
      </c>
      <c r="M77" s="42" t="s">
        <v>41</v>
      </c>
      <c r="N77" s="42" t="s">
        <v>1027</v>
      </c>
      <c r="O77" s="42"/>
      <c r="P77" s="42"/>
      <c r="Q77" s="43"/>
      <c r="R77" s="43"/>
      <c r="S77" s="43"/>
      <c r="T77" s="43"/>
      <c r="U77" s="45"/>
      <c r="V77" s="45"/>
      <c r="W77" s="46"/>
      <c r="X77" s="46"/>
      <c r="Y77" s="46"/>
      <c r="Z77" s="46"/>
      <c r="AA77" s="46"/>
      <c r="AB77" s="46"/>
      <c r="AC77" s="46"/>
      <c r="AD77" s="47"/>
      <c r="AE77" s="47"/>
      <c r="AF77" s="47"/>
      <c r="AG77" s="48" t="s">
        <v>342</v>
      </c>
      <c r="AH77" s="47"/>
      <c r="AI77" s="49"/>
      <c r="AJ77" s="49"/>
      <c r="AK77" s="50" t="str">
        <f>IFERROR(__xludf.DUMMYFUNCTION("""COMPUTED_VALUE"""),"52438815000150")</f>
        <v>52438815000150</v>
      </c>
    </row>
    <row r="78" ht="15.75" customHeight="1">
      <c r="A78" s="51">
        <v>94.0</v>
      </c>
      <c r="B78" s="51" t="s">
        <v>1892</v>
      </c>
      <c r="C78" s="51" t="s">
        <v>1891</v>
      </c>
      <c r="D78" s="51" t="s">
        <v>2065</v>
      </c>
      <c r="E78" s="51" t="s">
        <v>857</v>
      </c>
      <c r="F78" s="51" t="s">
        <v>1880</v>
      </c>
      <c r="G78" s="51" t="s">
        <v>124</v>
      </c>
      <c r="H78" s="51" t="s">
        <v>1898</v>
      </c>
      <c r="I78" s="51">
        <v>1.0</v>
      </c>
      <c r="J78" s="51"/>
      <c r="K78" s="51" t="s">
        <v>1896</v>
      </c>
      <c r="L78" s="51" t="s">
        <v>1052</v>
      </c>
      <c r="M78" s="51" t="s">
        <v>41</v>
      </c>
      <c r="N78" s="51" t="s">
        <v>2068</v>
      </c>
      <c r="O78" s="51"/>
      <c r="P78" s="51"/>
      <c r="Q78" s="51"/>
      <c r="R78" s="51"/>
      <c r="S78" s="51"/>
      <c r="T78" s="51"/>
      <c r="U78" s="52"/>
      <c r="V78" s="52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3" t="s">
        <v>342</v>
      </c>
      <c r="AH78" s="51"/>
      <c r="AI78" s="51"/>
      <c r="AJ78" s="51"/>
      <c r="AK78" s="50" t="str">
        <f>IFERROR(__xludf.DUMMYFUNCTION("""COMPUTED_VALUE"""),"89705513000101")</f>
        <v>89705513000101</v>
      </c>
    </row>
    <row r="79" ht="15.75" customHeight="1">
      <c r="A79" s="41">
        <v>100.0</v>
      </c>
      <c r="B79" s="41" t="s">
        <v>1955</v>
      </c>
      <c r="C79" s="41" t="s">
        <v>217</v>
      </c>
      <c r="D79" s="41" t="s">
        <v>2074</v>
      </c>
      <c r="E79" s="41" t="s">
        <v>857</v>
      </c>
      <c r="F79" s="41" t="s">
        <v>1018</v>
      </c>
      <c r="G79" s="41" t="s">
        <v>124</v>
      </c>
      <c r="H79" s="42" t="s">
        <v>670</v>
      </c>
      <c r="I79" s="42">
        <v>1692.0</v>
      </c>
      <c r="J79" s="42"/>
      <c r="K79" s="42" t="s">
        <v>673</v>
      </c>
      <c r="L79" s="42" t="s">
        <v>271</v>
      </c>
      <c r="M79" s="42" t="s">
        <v>41</v>
      </c>
      <c r="N79" s="42" t="s">
        <v>676</v>
      </c>
      <c r="O79" s="42"/>
      <c r="P79" s="42"/>
      <c r="Q79" s="43"/>
      <c r="R79" s="43"/>
      <c r="S79" s="43"/>
      <c r="T79" s="43"/>
      <c r="U79" s="45"/>
      <c r="V79" s="45"/>
      <c r="W79" s="46"/>
      <c r="X79" s="46"/>
      <c r="Y79" s="46"/>
      <c r="Z79" s="46"/>
      <c r="AA79" s="46"/>
      <c r="AB79" s="46"/>
      <c r="AC79" s="46"/>
      <c r="AD79" s="47"/>
      <c r="AE79" s="47"/>
      <c r="AF79" s="47"/>
      <c r="AG79" s="48" t="s">
        <v>342</v>
      </c>
      <c r="AH79" s="47"/>
      <c r="AI79" s="49"/>
      <c r="AJ79" s="49"/>
      <c r="AK79" s="50" t="str">
        <f>IFERROR(__xludf.DUMMYFUNCTION("""COMPUTED_VALUE"""),"19991321000123")</f>
        <v>19991321000123</v>
      </c>
    </row>
    <row r="80" ht="15.75" customHeight="1">
      <c r="A80" s="51">
        <v>101.0</v>
      </c>
      <c r="B80" s="51" t="s">
        <v>1965</v>
      </c>
      <c r="C80" s="51" t="s">
        <v>217</v>
      </c>
      <c r="D80" s="51" t="s">
        <v>2082</v>
      </c>
      <c r="E80" s="51" t="s">
        <v>252</v>
      </c>
      <c r="F80" s="51" t="s">
        <v>254</v>
      </c>
      <c r="G80" s="51" t="s">
        <v>173</v>
      </c>
      <c r="H80" s="51" t="s">
        <v>1970</v>
      </c>
      <c r="I80" s="51">
        <v>35.0</v>
      </c>
      <c r="J80" s="51" t="s">
        <v>841</v>
      </c>
      <c r="K80" s="51" t="s">
        <v>39</v>
      </c>
      <c r="L80" s="51" t="s">
        <v>843</v>
      </c>
      <c r="M80" s="51" t="s">
        <v>41</v>
      </c>
      <c r="N80" s="51" t="s">
        <v>2087</v>
      </c>
      <c r="O80" s="51" t="s">
        <v>410</v>
      </c>
      <c r="P80" s="51" t="s">
        <v>298</v>
      </c>
      <c r="Q80" s="51" t="s">
        <v>845</v>
      </c>
      <c r="R80" s="51" t="s">
        <v>2088</v>
      </c>
      <c r="S80" s="51" t="s">
        <v>848</v>
      </c>
      <c r="T80" s="51" t="s">
        <v>849</v>
      </c>
      <c r="U80" s="52">
        <v>0.375</v>
      </c>
      <c r="V80" s="52">
        <v>0.7916666666666666</v>
      </c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3" t="s">
        <v>342</v>
      </c>
      <c r="AH80" s="51"/>
      <c r="AI80" s="51"/>
      <c r="AJ80" s="51" t="s">
        <v>357</v>
      </c>
      <c r="AK80" s="50" t="str">
        <f>IFERROR(__xludf.DUMMYFUNCTION("""COMPUTED_VALUE"""),"50915875005070")</f>
        <v>50915875005070</v>
      </c>
    </row>
    <row r="81" ht="15.75" customHeight="1">
      <c r="A81" s="41">
        <v>102.0</v>
      </c>
      <c r="B81" s="41" t="s">
        <v>850</v>
      </c>
      <c r="C81" s="41" t="s">
        <v>217</v>
      </c>
      <c r="D81" s="41" t="s">
        <v>2092</v>
      </c>
      <c r="E81" s="41" t="s">
        <v>252</v>
      </c>
      <c r="F81" s="41" t="s">
        <v>254</v>
      </c>
      <c r="G81" s="41" t="s">
        <v>173</v>
      </c>
      <c r="H81" s="42" t="s">
        <v>1985</v>
      </c>
      <c r="I81" s="42">
        <v>616.0</v>
      </c>
      <c r="J81" s="42" t="s">
        <v>852</v>
      </c>
      <c r="K81" s="42" t="s">
        <v>39</v>
      </c>
      <c r="L81" s="42" t="s">
        <v>856</v>
      </c>
      <c r="M81" s="42" t="s">
        <v>181</v>
      </c>
      <c r="N81" s="42" t="s">
        <v>2094</v>
      </c>
      <c r="O81" s="42" t="s">
        <v>496</v>
      </c>
      <c r="P81" s="42" t="s">
        <v>298</v>
      </c>
      <c r="Q81" s="43" t="s">
        <v>859</v>
      </c>
      <c r="R81" s="43" t="s">
        <v>2095</v>
      </c>
      <c r="S81" s="43" t="s">
        <v>861</v>
      </c>
      <c r="T81" s="43" t="s">
        <v>862</v>
      </c>
      <c r="U81" s="45">
        <v>0.375</v>
      </c>
      <c r="V81" s="45">
        <v>0.7916666666666666</v>
      </c>
      <c r="W81" s="46"/>
      <c r="X81" s="46"/>
      <c r="Y81" s="46"/>
      <c r="Z81" s="46"/>
      <c r="AA81" s="46"/>
      <c r="AB81" s="46"/>
      <c r="AC81" s="46"/>
      <c r="AD81" s="47"/>
      <c r="AE81" s="47"/>
      <c r="AF81" s="47"/>
      <c r="AG81" s="48" t="s">
        <v>342</v>
      </c>
      <c r="AH81" s="47"/>
      <c r="AI81" s="49"/>
      <c r="AJ81" s="49" t="s">
        <v>357</v>
      </c>
      <c r="AK81" s="50" t="str">
        <f>IFERROR(__xludf.DUMMYFUNCTION("""COMPUTED_VALUE"""),"50915875006637")</f>
        <v>50915875006637</v>
      </c>
    </row>
    <row r="82" ht="15.75" customHeight="1">
      <c r="A82" s="51">
        <v>105.0</v>
      </c>
      <c r="B82" s="51" t="s">
        <v>864</v>
      </c>
      <c r="C82" s="51" t="s">
        <v>217</v>
      </c>
      <c r="D82" s="51" t="s">
        <v>2098</v>
      </c>
      <c r="E82" s="51" t="s">
        <v>252</v>
      </c>
      <c r="F82" s="51" t="s">
        <v>254</v>
      </c>
      <c r="G82" s="51" t="s">
        <v>173</v>
      </c>
      <c r="H82" s="51" t="s">
        <v>867</v>
      </c>
      <c r="I82" s="51">
        <v>41.0</v>
      </c>
      <c r="J82" s="51" t="s">
        <v>867</v>
      </c>
      <c r="K82" s="51" t="s">
        <v>39</v>
      </c>
      <c r="L82" s="51" t="s">
        <v>869</v>
      </c>
      <c r="M82" s="51" t="s">
        <v>181</v>
      </c>
      <c r="N82" s="51" t="s">
        <v>2101</v>
      </c>
      <c r="O82" s="51" t="s">
        <v>496</v>
      </c>
      <c r="P82" s="51" t="s">
        <v>298</v>
      </c>
      <c r="Q82" s="51" t="s">
        <v>871</v>
      </c>
      <c r="R82" s="51" t="s">
        <v>2102</v>
      </c>
      <c r="S82" s="51" t="s">
        <v>873</v>
      </c>
      <c r="T82" s="51" t="s">
        <v>874</v>
      </c>
      <c r="U82" s="52">
        <v>0.375</v>
      </c>
      <c r="V82" s="52">
        <v>0.75</v>
      </c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3" t="s">
        <v>342</v>
      </c>
      <c r="AH82" s="51"/>
      <c r="AI82" s="51"/>
      <c r="AJ82" s="51" t="s">
        <v>357</v>
      </c>
      <c r="AK82" s="50" t="str">
        <f>IFERROR(__xludf.DUMMYFUNCTION("""COMPUTED_VALUE"""),"50915875006394")</f>
        <v>50915875006394</v>
      </c>
    </row>
    <row r="83" ht="15.75" customHeight="1">
      <c r="A83" s="41">
        <v>106.0</v>
      </c>
      <c r="B83" s="41" t="s">
        <v>2016</v>
      </c>
      <c r="C83" s="41" t="s">
        <v>217</v>
      </c>
      <c r="D83" s="41" t="s">
        <v>2105</v>
      </c>
      <c r="E83" s="41" t="s">
        <v>252</v>
      </c>
      <c r="F83" s="41" t="s">
        <v>254</v>
      </c>
      <c r="G83" s="41" t="s">
        <v>173</v>
      </c>
      <c r="H83" s="42" t="s">
        <v>1283</v>
      </c>
      <c r="I83" s="42">
        <v>2928.0</v>
      </c>
      <c r="J83" s="42" t="s">
        <v>439</v>
      </c>
      <c r="K83" s="42" t="s">
        <v>39</v>
      </c>
      <c r="L83" s="42" t="s">
        <v>603</v>
      </c>
      <c r="M83" s="42" t="s">
        <v>41</v>
      </c>
      <c r="N83" s="42" t="s">
        <v>1290</v>
      </c>
      <c r="O83" s="42" t="s">
        <v>501</v>
      </c>
      <c r="P83" s="42" t="s">
        <v>298</v>
      </c>
      <c r="Q83" s="43" t="s">
        <v>880</v>
      </c>
      <c r="R83" s="43" t="s">
        <v>2107</v>
      </c>
      <c r="S83" s="43" t="s">
        <v>883</v>
      </c>
      <c r="T83" s="43" t="s">
        <v>885</v>
      </c>
      <c r="U83" s="45">
        <v>0.375</v>
      </c>
      <c r="V83" s="45">
        <v>0.75</v>
      </c>
      <c r="W83" s="46"/>
      <c r="X83" s="46"/>
      <c r="Y83" s="46"/>
      <c r="Z83" s="46"/>
      <c r="AA83" s="46"/>
      <c r="AB83" s="46"/>
      <c r="AC83" s="46"/>
      <c r="AD83" s="47"/>
      <c r="AE83" s="47"/>
      <c r="AF83" s="47"/>
      <c r="AG83" s="48" t="s">
        <v>342</v>
      </c>
      <c r="AH83" s="47"/>
      <c r="AI83" s="49"/>
      <c r="AJ83" s="49" t="s">
        <v>357</v>
      </c>
      <c r="AK83" s="50" t="str">
        <f>IFERROR(__xludf.DUMMYFUNCTION("""COMPUTED_VALUE"""),"50915875005231")</f>
        <v>50915875005231</v>
      </c>
    </row>
    <row r="84" ht="15.75" customHeight="1">
      <c r="A84" s="51">
        <v>108.0</v>
      </c>
      <c r="B84" s="51" t="s">
        <v>2018</v>
      </c>
      <c r="C84" s="51" t="s">
        <v>1687</v>
      </c>
      <c r="D84" s="51" t="s">
        <v>2109</v>
      </c>
      <c r="E84" s="51" t="s">
        <v>252</v>
      </c>
      <c r="F84" s="51" t="s">
        <v>254</v>
      </c>
      <c r="G84" s="51" t="s">
        <v>173</v>
      </c>
      <c r="H84" s="51" t="s">
        <v>889</v>
      </c>
      <c r="I84" s="51">
        <v>3281.0</v>
      </c>
      <c r="J84" s="51" t="s">
        <v>889</v>
      </c>
      <c r="K84" s="51" t="s">
        <v>2020</v>
      </c>
      <c r="L84" s="51" t="s">
        <v>892</v>
      </c>
      <c r="M84" s="51" t="s">
        <v>41</v>
      </c>
      <c r="N84" s="51" t="s">
        <v>2110</v>
      </c>
      <c r="O84" s="51" t="s">
        <v>501</v>
      </c>
      <c r="P84" s="51" t="s">
        <v>298</v>
      </c>
      <c r="Q84" s="51" t="s">
        <v>894</v>
      </c>
      <c r="R84" s="51" t="s">
        <v>2111</v>
      </c>
      <c r="S84" s="51" t="s">
        <v>896</v>
      </c>
      <c r="T84" s="51" t="s">
        <v>897</v>
      </c>
      <c r="U84" s="52">
        <v>0.375</v>
      </c>
      <c r="V84" s="52">
        <v>0.75</v>
      </c>
      <c r="W84" s="51"/>
      <c r="X84" s="51"/>
      <c r="Y84" s="51"/>
      <c r="Z84" s="51"/>
      <c r="AA84" s="51"/>
      <c r="AB84" s="51"/>
      <c r="AC84" s="51"/>
      <c r="AD84" s="51"/>
      <c r="AE84" s="51"/>
      <c r="AF84" s="65">
        <v>11794.0</v>
      </c>
      <c r="AG84" s="53" t="s">
        <v>342</v>
      </c>
      <c r="AH84" s="51"/>
      <c r="AI84" s="51"/>
      <c r="AJ84" s="51" t="s">
        <v>357</v>
      </c>
      <c r="AK84" s="50" t="str">
        <f>IFERROR(__xludf.DUMMYFUNCTION("""COMPUTED_VALUE"""),"50915875004189")</f>
        <v>50915875004189</v>
      </c>
    </row>
    <row r="85" ht="15.75" customHeight="1">
      <c r="A85" s="41">
        <v>109.0</v>
      </c>
      <c r="B85" s="41" t="s">
        <v>2021</v>
      </c>
      <c r="C85" s="41" t="s">
        <v>217</v>
      </c>
      <c r="D85" s="41" t="s">
        <v>2114</v>
      </c>
      <c r="E85" s="41" t="s">
        <v>252</v>
      </c>
      <c r="F85" s="41" t="s">
        <v>254</v>
      </c>
      <c r="G85" s="41" t="s">
        <v>173</v>
      </c>
      <c r="H85" s="42" t="s">
        <v>1679</v>
      </c>
      <c r="I85" s="42">
        <v>991.0</v>
      </c>
      <c r="J85" s="42" t="s">
        <v>677</v>
      </c>
      <c r="K85" s="42" t="s">
        <v>39</v>
      </c>
      <c r="L85" s="42" t="s">
        <v>679</v>
      </c>
      <c r="M85" s="42" t="s">
        <v>41</v>
      </c>
      <c r="N85" s="42" t="s">
        <v>1813</v>
      </c>
      <c r="O85" s="42" t="s">
        <v>366</v>
      </c>
      <c r="P85" s="42" t="s">
        <v>298</v>
      </c>
      <c r="Q85" s="43" t="s">
        <v>904</v>
      </c>
      <c r="R85" s="43" t="s">
        <v>2116</v>
      </c>
      <c r="S85" s="43" t="s">
        <v>907</v>
      </c>
      <c r="T85" s="43" t="s">
        <v>908</v>
      </c>
      <c r="U85" s="45">
        <v>0.375</v>
      </c>
      <c r="V85" s="45">
        <v>0.75</v>
      </c>
      <c r="W85" s="46"/>
      <c r="X85" s="46"/>
      <c r="Y85" s="46"/>
      <c r="Z85" s="46"/>
      <c r="AA85" s="46"/>
      <c r="AB85" s="46"/>
      <c r="AC85" s="46"/>
      <c r="AD85" s="47"/>
      <c r="AE85" s="47"/>
      <c r="AF85" s="47"/>
      <c r="AG85" s="48" t="s">
        <v>342</v>
      </c>
      <c r="AH85" s="47"/>
      <c r="AI85" s="49"/>
      <c r="AJ85" s="49" t="s">
        <v>357</v>
      </c>
      <c r="AK85" s="50" t="str">
        <f>IFERROR(__xludf.DUMMYFUNCTION("""COMPUTED_VALUE"""),"50915875003964")</f>
        <v>50915875003964</v>
      </c>
    </row>
    <row r="86" ht="15.75" customHeight="1">
      <c r="A86" s="51">
        <v>111.0</v>
      </c>
      <c r="B86" s="51" t="s">
        <v>2025</v>
      </c>
      <c r="C86" s="51" t="s">
        <v>217</v>
      </c>
      <c r="D86" s="51" t="s">
        <v>2118</v>
      </c>
      <c r="E86" s="51" t="s">
        <v>252</v>
      </c>
      <c r="F86" s="51" t="s">
        <v>254</v>
      </c>
      <c r="G86" s="51" t="s">
        <v>173</v>
      </c>
      <c r="H86" s="51" t="s">
        <v>912</v>
      </c>
      <c r="I86" s="51">
        <v>1950.0</v>
      </c>
      <c r="J86" s="51" t="s">
        <v>912</v>
      </c>
      <c r="K86" s="51" t="s">
        <v>39</v>
      </c>
      <c r="L86" s="51" t="s">
        <v>914</v>
      </c>
      <c r="M86" s="51" t="s">
        <v>41</v>
      </c>
      <c r="N86" s="51" t="s">
        <v>2119</v>
      </c>
      <c r="O86" s="51" t="s">
        <v>496</v>
      </c>
      <c r="P86" s="51" t="s">
        <v>298</v>
      </c>
      <c r="Q86" s="51" t="s">
        <v>917</v>
      </c>
      <c r="R86" s="51" t="s">
        <v>2120</v>
      </c>
      <c r="S86" s="51" t="s">
        <v>919</v>
      </c>
      <c r="T86" s="51" t="s">
        <v>920</v>
      </c>
      <c r="U86" s="52">
        <v>0.375</v>
      </c>
      <c r="V86" s="52">
        <v>0.75</v>
      </c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3" t="s">
        <v>342</v>
      </c>
      <c r="AH86" s="51"/>
      <c r="AI86" s="51"/>
      <c r="AJ86" s="51" t="s">
        <v>357</v>
      </c>
      <c r="AK86" s="50" t="str">
        <f>IFERROR(__xludf.DUMMYFUNCTION("""COMPUTED_VALUE"""),"50915875003883")</f>
        <v>50915875003883</v>
      </c>
    </row>
    <row r="87" ht="15.75" customHeight="1">
      <c r="A87" s="41">
        <v>113.0</v>
      </c>
      <c r="B87" s="41" t="s">
        <v>921</v>
      </c>
      <c r="C87" s="41" t="s">
        <v>217</v>
      </c>
      <c r="D87" s="41" t="s">
        <v>2121</v>
      </c>
      <c r="E87" s="41" t="s">
        <v>252</v>
      </c>
      <c r="F87" s="41" t="s">
        <v>254</v>
      </c>
      <c r="G87" s="41" t="s">
        <v>173</v>
      </c>
      <c r="H87" s="42" t="s">
        <v>2031</v>
      </c>
      <c r="I87" s="42">
        <v>396.0</v>
      </c>
      <c r="J87" s="42" t="s">
        <v>923</v>
      </c>
      <c r="K87" s="42" t="s">
        <v>39</v>
      </c>
      <c r="L87" s="42" t="s">
        <v>926</v>
      </c>
      <c r="M87" s="42" t="s">
        <v>181</v>
      </c>
      <c r="N87" s="42" t="s">
        <v>2122</v>
      </c>
      <c r="O87" s="42" t="s">
        <v>496</v>
      </c>
      <c r="P87" s="42" t="s">
        <v>298</v>
      </c>
      <c r="Q87" s="43" t="s">
        <v>928</v>
      </c>
      <c r="R87" s="43" t="s">
        <v>2123</v>
      </c>
      <c r="S87" s="43" t="s">
        <v>930</v>
      </c>
      <c r="T87" s="43" t="s">
        <v>931</v>
      </c>
      <c r="U87" s="45">
        <v>0.375</v>
      </c>
      <c r="V87" s="45">
        <v>0.75</v>
      </c>
      <c r="W87" s="46"/>
      <c r="X87" s="46"/>
      <c r="Y87" s="46"/>
      <c r="Z87" s="46"/>
      <c r="AA87" s="46"/>
      <c r="AB87" s="46"/>
      <c r="AC87" s="46"/>
      <c r="AD87" s="47"/>
      <c r="AE87" s="47"/>
      <c r="AF87" s="47"/>
      <c r="AG87" s="48" t="s">
        <v>342</v>
      </c>
      <c r="AH87" s="47"/>
      <c r="AI87" s="49"/>
      <c r="AJ87" s="49" t="s">
        <v>357</v>
      </c>
      <c r="AK87" s="50" t="str">
        <f>IFERROR(__xludf.DUMMYFUNCTION("""COMPUTED_VALUE"""),"50915875006556")</f>
        <v>50915875006556</v>
      </c>
    </row>
    <row r="88" ht="15.75" customHeight="1">
      <c r="A88" s="51">
        <v>114.0</v>
      </c>
      <c r="B88" s="51" t="s">
        <v>932</v>
      </c>
      <c r="C88" s="51" t="s">
        <v>217</v>
      </c>
      <c r="D88" s="51" t="s">
        <v>2125</v>
      </c>
      <c r="E88" s="51" t="s">
        <v>252</v>
      </c>
      <c r="F88" s="51" t="s">
        <v>254</v>
      </c>
      <c r="G88" s="51" t="s">
        <v>173</v>
      </c>
      <c r="H88" s="51" t="s">
        <v>934</v>
      </c>
      <c r="I88" s="51">
        <v>396.0</v>
      </c>
      <c r="J88" s="51" t="s">
        <v>934</v>
      </c>
      <c r="K88" s="51" t="s">
        <v>39</v>
      </c>
      <c r="L88" s="51" t="s">
        <v>935</v>
      </c>
      <c r="M88" s="51" t="s">
        <v>41</v>
      </c>
      <c r="N88" s="51" t="s">
        <v>2126</v>
      </c>
      <c r="O88" s="51" t="s">
        <v>366</v>
      </c>
      <c r="P88" s="51" t="s">
        <v>298</v>
      </c>
      <c r="Q88" s="51" t="s">
        <v>938</v>
      </c>
      <c r="R88" s="51" t="s">
        <v>2127</v>
      </c>
      <c r="S88" s="51" t="s">
        <v>944</v>
      </c>
      <c r="T88" s="51" t="s">
        <v>946</v>
      </c>
      <c r="U88" s="52">
        <v>0.375</v>
      </c>
      <c r="V88" s="52">
        <v>0.75</v>
      </c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3" t="s">
        <v>342</v>
      </c>
      <c r="AH88" s="51"/>
      <c r="AI88" s="51"/>
      <c r="AJ88" s="51" t="s">
        <v>357</v>
      </c>
      <c r="AK88" s="50" t="str">
        <f>IFERROR(__xludf.DUMMYFUNCTION("""COMPUTED_VALUE"""),"50915875005827")</f>
        <v>50915875005827</v>
      </c>
    </row>
    <row r="89" ht="15.75" customHeight="1">
      <c r="A89" s="41">
        <v>115.0</v>
      </c>
      <c r="B89" s="41" t="s">
        <v>2033</v>
      </c>
      <c r="C89" s="41" t="s">
        <v>217</v>
      </c>
      <c r="D89" s="41" t="s">
        <v>2130</v>
      </c>
      <c r="E89" s="41" t="s">
        <v>252</v>
      </c>
      <c r="F89" s="41" t="s">
        <v>254</v>
      </c>
      <c r="G89" s="41" t="s">
        <v>173</v>
      </c>
      <c r="H89" s="42" t="s">
        <v>2034</v>
      </c>
      <c r="I89" s="42">
        <v>273.0</v>
      </c>
      <c r="J89" s="42" t="s">
        <v>957</v>
      </c>
      <c r="K89" s="42" t="s">
        <v>39</v>
      </c>
      <c r="L89" s="42" t="s">
        <v>961</v>
      </c>
      <c r="M89" s="42" t="s">
        <v>41</v>
      </c>
      <c r="N89" s="42" t="s">
        <v>2131</v>
      </c>
      <c r="O89" s="42" t="s">
        <v>410</v>
      </c>
      <c r="P89" s="42" t="s">
        <v>298</v>
      </c>
      <c r="Q89" s="43" t="s">
        <v>967</v>
      </c>
      <c r="R89" s="43" t="s">
        <v>2132</v>
      </c>
      <c r="S89" s="43" t="s">
        <v>974</v>
      </c>
      <c r="T89" s="43" t="s">
        <v>976</v>
      </c>
      <c r="U89" s="45">
        <v>0.375</v>
      </c>
      <c r="V89" s="45">
        <v>0.75</v>
      </c>
      <c r="W89" s="46"/>
      <c r="X89" s="46"/>
      <c r="Y89" s="46"/>
      <c r="Z89" s="46"/>
      <c r="AA89" s="46"/>
      <c r="AB89" s="46"/>
      <c r="AC89" s="46"/>
      <c r="AD89" s="47"/>
      <c r="AE89" s="47"/>
      <c r="AF89" s="47"/>
      <c r="AG89" s="48" t="s">
        <v>342</v>
      </c>
      <c r="AH89" s="47"/>
      <c r="AI89" s="49"/>
      <c r="AJ89" s="49" t="s">
        <v>357</v>
      </c>
      <c r="AK89" s="50" t="str">
        <f>IFERROR(__xludf.DUMMYFUNCTION("""COMPUTED_VALUE"""),"50915875004936")</f>
        <v>50915875004936</v>
      </c>
    </row>
    <row r="90" ht="15.75" customHeight="1">
      <c r="A90" s="51">
        <v>116.0</v>
      </c>
      <c r="B90" s="51" t="s">
        <v>2035</v>
      </c>
      <c r="C90" s="51" t="s">
        <v>217</v>
      </c>
      <c r="D90" s="51" t="s">
        <v>2136</v>
      </c>
      <c r="E90" s="51" t="s">
        <v>252</v>
      </c>
      <c r="F90" s="51" t="s">
        <v>254</v>
      </c>
      <c r="G90" s="51" t="s">
        <v>173</v>
      </c>
      <c r="H90" s="51" t="s">
        <v>2037</v>
      </c>
      <c r="I90" s="51">
        <v>848.0</v>
      </c>
      <c r="J90" s="51" t="s">
        <v>981</v>
      </c>
      <c r="K90" s="51" t="s">
        <v>983</v>
      </c>
      <c r="L90" s="51" t="s">
        <v>985</v>
      </c>
      <c r="M90" s="51" t="s">
        <v>41</v>
      </c>
      <c r="N90" s="51" t="s">
        <v>2138</v>
      </c>
      <c r="O90" s="51" t="s">
        <v>366</v>
      </c>
      <c r="P90" s="51" t="s">
        <v>298</v>
      </c>
      <c r="Q90" s="51" t="s">
        <v>989</v>
      </c>
      <c r="R90" s="51" t="s">
        <v>2140</v>
      </c>
      <c r="S90" s="51" t="s">
        <v>993</v>
      </c>
      <c r="T90" s="51" t="s">
        <v>995</v>
      </c>
      <c r="U90" s="52">
        <v>0.375</v>
      </c>
      <c r="V90" s="52">
        <v>0.75</v>
      </c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3" t="s">
        <v>342</v>
      </c>
      <c r="AH90" s="51"/>
      <c r="AI90" s="51"/>
      <c r="AJ90" s="51" t="s">
        <v>357</v>
      </c>
      <c r="AK90" s="50" t="str">
        <f>IFERROR(__xludf.DUMMYFUNCTION("""COMPUTED_VALUE"""),"50915875005908")</f>
        <v>50915875005908</v>
      </c>
    </row>
    <row r="91" ht="15.75" customHeight="1">
      <c r="A91" s="41">
        <v>117.0</v>
      </c>
      <c r="B91" s="41" t="s">
        <v>2039</v>
      </c>
      <c r="C91" s="41" t="s">
        <v>217</v>
      </c>
      <c r="D91" s="41" t="s">
        <v>2145</v>
      </c>
      <c r="E91" s="41" t="s">
        <v>252</v>
      </c>
      <c r="F91" s="41" t="s">
        <v>254</v>
      </c>
      <c r="G91" s="41" t="s">
        <v>173</v>
      </c>
      <c r="H91" s="42" t="s">
        <v>1730</v>
      </c>
      <c r="I91" s="42">
        <v>4061.0</v>
      </c>
      <c r="J91" s="42" t="s">
        <v>723</v>
      </c>
      <c r="K91" s="42" t="s">
        <v>39</v>
      </c>
      <c r="L91" s="42" t="s">
        <v>554</v>
      </c>
      <c r="M91" s="42" t="s">
        <v>41</v>
      </c>
      <c r="N91" s="42" t="s">
        <v>2147</v>
      </c>
      <c r="O91" s="42" t="s">
        <v>410</v>
      </c>
      <c r="P91" s="42" t="s">
        <v>298</v>
      </c>
      <c r="Q91" s="43" t="s">
        <v>1002</v>
      </c>
      <c r="R91" s="43" t="s">
        <v>2148</v>
      </c>
      <c r="S91" s="43" t="s">
        <v>1005</v>
      </c>
      <c r="T91" s="43" t="s">
        <v>1006</v>
      </c>
      <c r="U91" s="45">
        <v>0.375</v>
      </c>
      <c r="V91" s="45">
        <v>0.75</v>
      </c>
      <c r="W91" s="46"/>
      <c r="X91" s="46"/>
      <c r="Y91" s="46"/>
      <c r="Z91" s="46"/>
      <c r="AA91" s="46"/>
      <c r="AB91" s="46"/>
      <c r="AC91" s="46"/>
      <c r="AD91" s="47"/>
      <c r="AE91" s="47"/>
      <c r="AF91" s="47"/>
      <c r="AG91" s="48" t="s">
        <v>342</v>
      </c>
      <c r="AH91" s="47"/>
      <c r="AI91" s="49"/>
      <c r="AJ91" s="49" t="s">
        <v>357</v>
      </c>
      <c r="AK91" s="50" t="str">
        <f>IFERROR(__xludf.DUMMYFUNCTION("""COMPUTED_VALUE"""),"50915875004260")</f>
        <v>50915875004260</v>
      </c>
    </row>
    <row r="92" ht="15.75" customHeight="1">
      <c r="A92" s="51">
        <v>118.0</v>
      </c>
      <c r="B92" s="51" t="s">
        <v>2042</v>
      </c>
      <c r="C92" s="51" t="s">
        <v>217</v>
      </c>
      <c r="D92" s="51" t="s">
        <v>2153</v>
      </c>
      <c r="E92" s="51" t="s">
        <v>252</v>
      </c>
      <c r="F92" s="51" t="s">
        <v>254</v>
      </c>
      <c r="G92" s="51" t="s">
        <v>173</v>
      </c>
      <c r="H92" s="51" t="s">
        <v>2044</v>
      </c>
      <c r="I92" s="51">
        <v>80.0</v>
      </c>
      <c r="J92" s="51" t="s">
        <v>1009</v>
      </c>
      <c r="K92" s="51" t="s">
        <v>39</v>
      </c>
      <c r="L92" s="51" t="s">
        <v>1011</v>
      </c>
      <c r="M92" s="51" t="s">
        <v>41</v>
      </c>
      <c r="N92" s="51" t="s">
        <v>2159</v>
      </c>
      <c r="O92" s="51" t="s">
        <v>501</v>
      </c>
      <c r="P92" s="51" t="s">
        <v>298</v>
      </c>
      <c r="Q92" s="51" t="s">
        <v>1014</v>
      </c>
      <c r="R92" s="51" t="s">
        <v>2161</v>
      </c>
      <c r="S92" s="51" t="s">
        <v>1019</v>
      </c>
      <c r="T92" s="51" t="s">
        <v>1022</v>
      </c>
      <c r="U92" s="52">
        <v>0.375</v>
      </c>
      <c r="V92" s="52">
        <v>0.75</v>
      </c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3" t="s">
        <v>342</v>
      </c>
      <c r="AH92" s="51"/>
      <c r="AI92" s="51"/>
      <c r="AJ92" s="51" t="s">
        <v>357</v>
      </c>
      <c r="AK92" s="50" t="str">
        <f>IFERROR(__xludf.DUMMYFUNCTION("""COMPUTED_VALUE"""),"50915875004340")</f>
        <v>50915875004340</v>
      </c>
    </row>
    <row r="93" ht="15.75" customHeight="1">
      <c r="A93" s="41">
        <v>119.0</v>
      </c>
      <c r="B93" s="41" t="s">
        <v>2045</v>
      </c>
      <c r="C93" s="41" t="s">
        <v>217</v>
      </c>
      <c r="D93" s="41" t="s">
        <v>2164</v>
      </c>
      <c r="E93" s="41" t="s">
        <v>252</v>
      </c>
      <c r="F93" s="41" t="s">
        <v>254</v>
      </c>
      <c r="G93" s="41" t="s">
        <v>173</v>
      </c>
      <c r="H93" s="42" t="s">
        <v>1028</v>
      </c>
      <c r="I93" s="42">
        <v>875.0</v>
      </c>
      <c r="J93" s="42" t="s">
        <v>1028</v>
      </c>
      <c r="K93" s="42" t="s">
        <v>39</v>
      </c>
      <c r="L93" s="42" t="s">
        <v>1030</v>
      </c>
      <c r="M93" s="42" t="s">
        <v>41</v>
      </c>
      <c r="N93" s="42" t="s">
        <v>2167</v>
      </c>
      <c r="O93" s="42" t="s">
        <v>366</v>
      </c>
      <c r="P93" s="42" t="s">
        <v>298</v>
      </c>
      <c r="Q93" s="43" t="s">
        <v>1032</v>
      </c>
      <c r="R93" s="43" t="s">
        <v>2168</v>
      </c>
      <c r="S93" s="43" t="s">
        <v>1034</v>
      </c>
      <c r="T93" s="43" t="s">
        <v>1035</v>
      </c>
      <c r="U93" s="45">
        <v>0.375</v>
      </c>
      <c r="V93" s="45">
        <v>0.75</v>
      </c>
      <c r="W93" s="46"/>
      <c r="X93" s="46"/>
      <c r="Y93" s="46"/>
      <c r="Z93" s="46"/>
      <c r="AA93" s="46"/>
      <c r="AB93" s="46"/>
      <c r="AC93" s="46"/>
      <c r="AD93" s="47"/>
      <c r="AE93" s="47"/>
      <c r="AF93" s="47"/>
      <c r="AG93" s="48" t="s">
        <v>342</v>
      </c>
      <c r="AH93" s="47"/>
      <c r="AI93" s="49"/>
      <c r="AJ93" s="49" t="s">
        <v>357</v>
      </c>
      <c r="AK93" s="50" t="str">
        <f>IFERROR(__xludf.DUMMYFUNCTION("""COMPUTED_VALUE"""),"50915875005150")</f>
        <v>50915875005150</v>
      </c>
    </row>
    <row r="94" ht="15.75" customHeight="1">
      <c r="A94" s="51">
        <v>120.0</v>
      </c>
      <c r="B94" s="51" t="s">
        <v>2048</v>
      </c>
      <c r="C94" s="51" t="s">
        <v>217</v>
      </c>
      <c r="D94" s="51" t="s">
        <v>2176</v>
      </c>
      <c r="E94" s="51" t="s">
        <v>252</v>
      </c>
      <c r="F94" s="51" t="s">
        <v>254</v>
      </c>
      <c r="G94" s="51" t="s">
        <v>173</v>
      </c>
      <c r="H94" s="51" t="s">
        <v>1038</v>
      </c>
      <c r="I94" s="51">
        <v>615.0</v>
      </c>
      <c r="J94" s="51" t="s">
        <v>1038</v>
      </c>
      <c r="K94" s="51" t="s">
        <v>39</v>
      </c>
      <c r="L94" s="51" t="s">
        <v>1861</v>
      </c>
      <c r="M94" s="51" t="s">
        <v>41</v>
      </c>
      <c r="N94" s="51" t="s">
        <v>1037</v>
      </c>
      <c r="O94" s="51" t="s">
        <v>501</v>
      </c>
      <c r="P94" s="51" t="s">
        <v>298</v>
      </c>
      <c r="Q94" s="51" t="s">
        <v>1042</v>
      </c>
      <c r="R94" s="51" t="s">
        <v>2180</v>
      </c>
      <c r="S94" s="51" t="s">
        <v>1045</v>
      </c>
      <c r="T94" s="51" t="s">
        <v>1046</v>
      </c>
      <c r="U94" s="52">
        <v>0.375</v>
      </c>
      <c r="V94" s="52">
        <v>0.75</v>
      </c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3" t="s">
        <v>342</v>
      </c>
      <c r="AH94" s="51"/>
      <c r="AI94" s="51"/>
      <c r="AJ94" s="51" t="s">
        <v>357</v>
      </c>
      <c r="AK94" s="50" t="str">
        <f>IFERROR(__xludf.DUMMYFUNCTION("""COMPUTED_VALUE"""),"50915875005401")</f>
        <v>50915875005401</v>
      </c>
    </row>
    <row r="95" ht="15.75" customHeight="1">
      <c r="A95" s="41">
        <v>121.0</v>
      </c>
      <c r="B95" s="41" t="s">
        <v>2051</v>
      </c>
      <c r="C95" s="41" t="s">
        <v>2050</v>
      </c>
      <c r="D95" s="41" t="s">
        <v>1054</v>
      </c>
      <c r="E95" s="41" t="s">
        <v>252</v>
      </c>
      <c r="F95" s="41" t="s">
        <v>254</v>
      </c>
      <c r="G95" s="41" t="s">
        <v>288</v>
      </c>
      <c r="H95" s="42" t="s">
        <v>258</v>
      </c>
      <c r="I95" s="42">
        <v>185.0</v>
      </c>
      <c r="J95" s="42" t="s">
        <v>37</v>
      </c>
      <c r="K95" s="42" t="s">
        <v>39</v>
      </c>
      <c r="L95" s="42" t="s">
        <v>1053</v>
      </c>
      <c r="M95" s="42" t="s">
        <v>41</v>
      </c>
      <c r="N95" s="42" t="s">
        <v>2186</v>
      </c>
      <c r="O95" s="42" t="s">
        <v>389</v>
      </c>
      <c r="P95" s="42" t="s">
        <v>298</v>
      </c>
      <c r="Q95" s="43" t="s">
        <v>1056</v>
      </c>
      <c r="R95" s="43" t="s">
        <v>2188</v>
      </c>
      <c r="S95" s="43" t="s">
        <v>1059</v>
      </c>
      <c r="T95" s="43" t="s">
        <v>1060</v>
      </c>
      <c r="U95" s="45">
        <v>0.375</v>
      </c>
      <c r="V95" s="45">
        <v>0.75</v>
      </c>
      <c r="W95" s="46"/>
      <c r="X95" s="46"/>
      <c r="Y95" s="46"/>
      <c r="Z95" s="46"/>
      <c r="AA95" s="46"/>
      <c r="AB95" s="46"/>
      <c r="AC95" s="46"/>
      <c r="AD95" s="47"/>
      <c r="AE95" s="47"/>
      <c r="AF95" s="47"/>
      <c r="AG95" s="48" t="s">
        <v>342</v>
      </c>
      <c r="AH95" s="47"/>
      <c r="AI95" s="49"/>
      <c r="AJ95" s="49" t="s">
        <v>357</v>
      </c>
      <c r="AK95" s="50" t="str">
        <f>IFERROR(__xludf.DUMMYFUNCTION("""COMPUTED_VALUE"""),"40591677000166")</f>
        <v>40591677000166</v>
      </c>
    </row>
    <row r="96" ht="15.75" customHeight="1">
      <c r="A96" s="51">
        <v>122.0</v>
      </c>
      <c r="B96" s="51" t="s">
        <v>1061</v>
      </c>
      <c r="C96" s="51" t="s">
        <v>217</v>
      </c>
      <c r="D96" s="51" t="s">
        <v>1064</v>
      </c>
      <c r="E96" s="51" t="s">
        <v>252</v>
      </c>
      <c r="F96" s="51" t="s">
        <v>1951</v>
      </c>
      <c r="G96" s="51" t="s">
        <v>173</v>
      </c>
      <c r="H96" s="51" t="s">
        <v>263</v>
      </c>
      <c r="I96" s="51">
        <v>1700.0</v>
      </c>
      <c r="J96" s="51" t="s">
        <v>263</v>
      </c>
      <c r="K96" s="51" t="s">
        <v>834</v>
      </c>
      <c r="L96" s="51" t="s">
        <v>266</v>
      </c>
      <c r="M96" s="51" t="s">
        <v>41</v>
      </c>
      <c r="N96" s="51" t="s">
        <v>837</v>
      </c>
      <c r="O96" s="51" t="s">
        <v>389</v>
      </c>
      <c r="P96" s="51" t="s">
        <v>298</v>
      </c>
      <c r="Q96" s="51" t="s">
        <v>1066</v>
      </c>
      <c r="R96" s="51" t="s">
        <v>2194</v>
      </c>
      <c r="S96" s="51" t="s">
        <v>1068</v>
      </c>
      <c r="T96" s="51" t="s">
        <v>1069</v>
      </c>
      <c r="U96" s="52">
        <v>0.4166666666666667</v>
      </c>
      <c r="V96" s="52">
        <v>0.9166666666666666</v>
      </c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3" t="s">
        <v>342</v>
      </c>
      <c r="AH96" s="51"/>
      <c r="AI96" s="51"/>
      <c r="AJ96" s="51" t="s">
        <v>357</v>
      </c>
      <c r="AK96" s="50" t="str">
        <f>IFERROR(__xludf.DUMMYFUNCTION("""COMPUTED_VALUE"""),"50915875002640")</f>
        <v>50915875002640</v>
      </c>
    </row>
    <row r="97" ht="15.75" customHeight="1">
      <c r="A97" s="41">
        <v>123.0</v>
      </c>
      <c r="B97" s="41" t="s">
        <v>1070</v>
      </c>
      <c r="C97" s="41" t="s">
        <v>217</v>
      </c>
      <c r="D97" s="41" t="s">
        <v>2199</v>
      </c>
      <c r="E97" s="41" t="s">
        <v>252</v>
      </c>
      <c r="F97" s="41" t="s">
        <v>254</v>
      </c>
      <c r="G97" s="41" t="s">
        <v>173</v>
      </c>
      <c r="H97" s="42" t="s">
        <v>2057</v>
      </c>
      <c r="I97" s="42">
        <v>185.0</v>
      </c>
      <c r="J97" s="42" t="s">
        <v>1073</v>
      </c>
      <c r="K97" s="42" t="s">
        <v>2056</v>
      </c>
      <c r="L97" s="42" t="s">
        <v>1075</v>
      </c>
      <c r="M97" s="42" t="s">
        <v>209</v>
      </c>
      <c r="N97" s="42" t="s">
        <v>2201</v>
      </c>
      <c r="O97" s="42" t="s">
        <v>517</v>
      </c>
      <c r="P97" s="42" t="s">
        <v>298</v>
      </c>
      <c r="Q97" s="43" t="s">
        <v>1077</v>
      </c>
      <c r="R97" s="43" t="s">
        <v>2202</v>
      </c>
      <c r="S97" s="43" t="s">
        <v>1079</v>
      </c>
      <c r="T97" s="43" t="s">
        <v>1080</v>
      </c>
      <c r="U97" s="45">
        <v>0.375</v>
      </c>
      <c r="V97" s="45">
        <v>0.7916666666666666</v>
      </c>
      <c r="W97" s="46"/>
      <c r="X97" s="46"/>
      <c r="Y97" s="46"/>
      <c r="Z97" s="46"/>
      <c r="AA97" s="46"/>
      <c r="AB97" s="46"/>
      <c r="AC97" s="46"/>
      <c r="AD97" s="47"/>
      <c r="AE97" s="47"/>
      <c r="AF97" s="47"/>
      <c r="AG97" s="48" t="s">
        <v>342</v>
      </c>
      <c r="AH97" s="47"/>
      <c r="AI97" s="49"/>
      <c r="AJ97" s="49" t="s">
        <v>357</v>
      </c>
      <c r="AK97" s="50" t="str">
        <f>IFERROR(__xludf.DUMMYFUNCTION("""COMPUTED_VALUE"""),"50915875003379")</f>
        <v>50915875003379</v>
      </c>
    </row>
    <row r="98" ht="15.75" customHeight="1">
      <c r="A98" s="51">
        <v>124.0</v>
      </c>
      <c r="B98" s="51" t="s">
        <v>2059</v>
      </c>
      <c r="C98" s="51" t="s">
        <v>217</v>
      </c>
      <c r="D98" s="51" t="s">
        <v>1084</v>
      </c>
      <c r="E98" s="51" t="s">
        <v>252</v>
      </c>
      <c r="F98" s="51" t="s">
        <v>254</v>
      </c>
      <c r="G98" s="51" t="s">
        <v>173</v>
      </c>
      <c r="H98" s="51" t="s">
        <v>258</v>
      </c>
      <c r="I98" s="51">
        <v>115.0</v>
      </c>
      <c r="J98" s="51" t="s">
        <v>37</v>
      </c>
      <c r="K98" s="51" t="s">
        <v>39</v>
      </c>
      <c r="L98" s="51" t="s">
        <v>271</v>
      </c>
      <c r="M98" s="51" t="s">
        <v>41</v>
      </c>
      <c r="N98" s="51" t="s">
        <v>294</v>
      </c>
      <c r="O98" s="51" t="s">
        <v>295</v>
      </c>
      <c r="P98" s="51" t="s">
        <v>298</v>
      </c>
      <c r="Q98" s="51" t="s">
        <v>1085</v>
      </c>
      <c r="R98" s="51" t="s">
        <v>2205</v>
      </c>
      <c r="S98" s="51" t="s">
        <v>1088</v>
      </c>
      <c r="T98" s="51" t="s">
        <v>1090</v>
      </c>
      <c r="U98" s="52">
        <v>0.375</v>
      </c>
      <c r="V98" s="52">
        <v>0.75</v>
      </c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3" t="s">
        <v>342</v>
      </c>
      <c r="AH98" s="51"/>
      <c r="AI98" s="51"/>
      <c r="AJ98" s="51" t="s">
        <v>357</v>
      </c>
      <c r="AK98" s="50" t="str">
        <f>IFERROR(__xludf.DUMMYFUNCTION("""COMPUTED_VALUE"""),"50915875002720")</f>
        <v>50915875002720</v>
      </c>
    </row>
    <row r="99" ht="15.75" customHeight="1">
      <c r="A99" s="41">
        <v>125.0</v>
      </c>
      <c r="B99" s="41" t="s">
        <v>2061</v>
      </c>
      <c r="C99" s="41" t="s">
        <v>217</v>
      </c>
      <c r="D99" s="41" t="s">
        <v>1095</v>
      </c>
      <c r="E99" s="41" t="s">
        <v>252</v>
      </c>
      <c r="F99" s="41" t="s">
        <v>1951</v>
      </c>
      <c r="G99" s="41" t="s">
        <v>173</v>
      </c>
      <c r="H99" s="42" t="s">
        <v>258</v>
      </c>
      <c r="I99" s="42">
        <v>358.0</v>
      </c>
      <c r="J99" s="42" t="s">
        <v>37</v>
      </c>
      <c r="K99" s="42" t="s">
        <v>39</v>
      </c>
      <c r="L99" s="42" t="s">
        <v>271</v>
      </c>
      <c r="M99" s="42" t="s">
        <v>41</v>
      </c>
      <c r="N99" s="42" t="s">
        <v>294</v>
      </c>
      <c r="O99" s="42" t="s">
        <v>295</v>
      </c>
      <c r="P99" s="42" t="s">
        <v>298</v>
      </c>
      <c r="Q99" s="43" t="s">
        <v>1096</v>
      </c>
      <c r="R99" s="43" t="s">
        <v>2212</v>
      </c>
      <c r="S99" s="43" t="s">
        <v>1098</v>
      </c>
      <c r="T99" s="43" t="s">
        <v>1099</v>
      </c>
      <c r="U99" s="45">
        <v>0.375</v>
      </c>
      <c r="V99" s="45">
        <v>0.75</v>
      </c>
      <c r="W99" s="46"/>
      <c r="X99" s="46"/>
      <c r="Y99" s="46"/>
      <c r="Z99" s="46"/>
      <c r="AA99" s="46"/>
      <c r="AB99" s="46"/>
      <c r="AC99" s="46"/>
      <c r="AD99" s="47"/>
      <c r="AE99" s="47"/>
      <c r="AF99" s="47"/>
      <c r="AG99" s="48" t="s">
        <v>342</v>
      </c>
      <c r="AH99" s="47"/>
      <c r="AI99" s="49"/>
      <c r="AJ99" s="49" t="s">
        <v>357</v>
      </c>
      <c r="AK99" s="50" t="str">
        <f>IFERROR(__xludf.DUMMYFUNCTION("""COMPUTED_VALUE"""),"50915875002801")</f>
        <v>50915875002801</v>
      </c>
    </row>
    <row r="100" ht="15.75" customHeight="1">
      <c r="A100" s="51">
        <v>126.0</v>
      </c>
      <c r="B100" s="51" t="s">
        <v>2062</v>
      </c>
      <c r="C100" s="51" t="s">
        <v>217</v>
      </c>
      <c r="D100" s="51" t="s">
        <v>1105</v>
      </c>
      <c r="E100" s="51" t="s">
        <v>252</v>
      </c>
      <c r="F100" s="51" t="s">
        <v>1951</v>
      </c>
      <c r="G100" s="51" t="s">
        <v>173</v>
      </c>
      <c r="H100" s="51" t="s">
        <v>2064</v>
      </c>
      <c r="I100" s="51">
        <v>107.0</v>
      </c>
      <c r="J100" s="51" t="s">
        <v>1103</v>
      </c>
      <c r="K100" s="51" t="s">
        <v>39</v>
      </c>
      <c r="L100" s="51" t="s">
        <v>221</v>
      </c>
      <c r="M100" s="51" t="s">
        <v>41</v>
      </c>
      <c r="N100" s="51" t="s">
        <v>2213</v>
      </c>
      <c r="O100" s="51" t="s">
        <v>517</v>
      </c>
      <c r="P100" s="51" t="s">
        <v>298</v>
      </c>
      <c r="Q100" s="51" t="s">
        <v>1106</v>
      </c>
      <c r="R100" s="51" t="s">
        <v>2214</v>
      </c>
      <c r="S100" s="51" t="s">
        <v>1108</v>
      </c>
      <c r="T100" s="51" t="s">
        <v>1109</v>
      </c>
      <c r="U100" s="52">
        <v>0.375</v>
      </c>
      <c r="V100" s="52">
        <v>0.75</v>
      </c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3" t="s">
        <v>342</v>
      </c>
      <c r="AH100" s="51"/>
      <c r="AI100" s="51"/>
      <c r="AJ100" s="51" t="s">
        <v>357</v>
      </c>
      <c r="AK100" s="50" t="str">
        <f>IFERROR(__xludf.DUMMYFUNCTION("""COMPUTED_VALUE"""),"50915875002992")</f>
        <v>50915875002992</v>
      </c>
    </row>
    <row r="101" ht="15.75" customHeight="1">
      <c r="A101" s="41">
        <v>127.0</v>
      </c>
      <c r="B101" s="41" t="s">
        <v>2066</v>
      </c>
      <c r="C101" s="41" t="s">
        <v>217</v>
      </c>
      <c r="D101" s="41" t="s">
        <v>1117</v>
      </c>
      <c r="E101" s="41" t="s">
        <v>252</v>
      </c>
      <c r="F101" s="41" t="s">
        <v>254</v>
      </c>
      <c r="G101" s="41" t="s">
        <v>173</v>
      </c>
      <c r="H101" s="42" t="s">
        <v>1114</v>
      </c>
      <c r="I101" s="42">
        <v>148.0</v>
      </c>
      <c r="J101" s="42" t="s">
        <v>1114</v>
      </c>
      <c r="K101" s="42" t="s">
        <v>39</v>
      </c>
      <c r="L101" s="42" t="s">
        <v>77</v>
      </c>
      <c r="M101" s="42" t="s">
        <v>41</v>
      </c>
      <c r="N101" s="42" t="s">
        <v>2219</v>
      </c>
      <c r="O101" s="42" t="s">
        <v>466</v>
      </c>
      <c r="P101" s="42" t="s">
        <v>298</v>
      </c>
      <c r="Q101" s="43" t="s">
        <v>1119</v>
      </c>
      <c r="R101" s="43" t="s">
        <v>2221</v>
      </c>
      <c r="S101" s="43" t="s">
        <v>1122</v>
      </c>
      <c r="T101" s="43" t="s">
        <v>1123</v>
      </c>
      <c r="U101" s="45">
        <v>0.375</v>
      </c>
      <c r="V101" s="45">
        <v>0.75</v>
      </c>
      <c r="W101" s="46"/>
      <c r="X101" s="46"/>
      <c r="Y101" s="46"/>
      <c r="Z101" s="46"/>
      <c r="AA101" s="46"/>
      <c r="AB101" s="46"/>
      <c r="AC101" s="46"/>
      <c r="AD101" s="47"/>
      <c r="AE101" s="47"/>
      <c r="AF101" s="47"/>
      <c r="AG101" s="48" t="s">
        <v>342</v>
      </c>
      <c r="AH101" s="47"/>
      <c r="AI101" s="49"/>
      <c r="AJ101" s="49" t="s">
        <v>357</v>
      </c>
      <c r="AK101" s="50" t="str">
        <f>IFERROR(__xludf.DUMMYFUNCTION("""COMPUTED_VALUE"""),"50915875003026")</f>
        <v>50915875003026</v>
      </c>
    </row>
    <row r="102" ht="15.75" customHeight="1">
      <c r="A102" s="51">
        <v>128.0</v>
      </c>
      <c r="B102" s="51" t="s">
        <v>2069</v>
      </c>
      <c r="C102" s="51" t="s">
        <v>217</v>
      </c>
      <c r="D102" s="51" t="s">
        <v>1129</v>
      </c>
      <c r="E102" s="51" t="s">
        <v>252</v>
      </c>
      <c r="F102" s="51" t="s">
        <v>254</v>
      </c>
      <c r="G102" s="51" t="s">
        <v>173</v>
      </c>
      <c r="H102" s="51" t="s">
        <v>2071</v>
      </c>
      <c r="I102" s="51">
        <v>147.0</v>
      </c>
      <c r="J102" s="51" t="s">
        <v>1126</v>
      </c>
      <c r="K102" s="51" t="s">
        <v>39</v>
      </c>
      <c r="L102" s="51" t="s">
        <v>266</v>
      </c>
      <c r="M102" s="51" t="s">
        <v>41</v>
      </c>
      <c r="N102" s="51" t="s">
        <v>2225</v>
      </c>
      <c r="O102" s="51" t="s">
        <v>389</v>
      </c>
      <c r="P102" s="51" t="s">
        <v>298</v>
      </c>
      <c r="Q102" s="51" t="s">
        <v>1130</v>
      </c>
      <c r="R102" s="51" t="s">
        <v>2227</v>
      </c>
      <c r="S102" s="51" t="s">
        <v>1132</v>
      </c>
      <c r="T102" s="51" t="s">
        <v>1133</v>
      </c>
      <c r="U102" s="52">
        <v>0.375</v>
      </c>
      <c r="V102" s="52">
        <v>0.7916666666666666</v>
      </c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3" t="s">
        <v>342</v>
      </c>
      <c r="AH102" s="51"/>
      <c r="AI102" s="51"/>
      <c r="AJ102" s="51" t="s">
        <v>357</v>
      </c>
      <c r="AK102" s="50" t="str">
        <f>IFERROR(__xludf.DUMMYFUNCTION("""COMPUTED_VALUE"""),"50915875003107")</f>
        <v>50915875003107</v>
      </c>
    </row>
    <row r="103" ht="15.75" customHeight="1">
      <c r="A103" s="41">
        <v>129.0</v>
      </c>
      <c r="B103" s="41" t="s">
        <v>2072</v>
      </c>
      <c r="C103" s="41" t="s">
        <v>1015</v>
      </c>
      <c r="D103" s="41" t="s">
        <v>2231</v>
      </c>
      <c r="E103" s="41" t="s">
        <v>857</v>
      </c>
      <c r="F103" s="41" t="s">
        <v>1951</v>
      </c>
      <c r="G103" s="41" t="s">
        <v>173</v>
      </c>
      <c r="H103" s="42" t="s">
        <v>698</v>
      </c>
      <c r="I103" s="42">
        <v>1846.0</v>
      </c>
      <c r="J103" s="42"/>
      <c r="K103" s="42" t="s">
        <v>701</v>
      </c>
      <c r="L103" s="42" t="s">
        <v>704</v>
      </c>
      <c r="M103" s="42" t="s">
        <v>41</v>
      </c>
      <c r="N103" s="42" t="s">
        <v>637</v>
      </c>
      <c r="O103" s="42" t="s">
        <v>466</v>
      </c>
      <c r="P103" s="42" t="s">
        <v>298</v>
      </c>
      <c r="Q103" s="43"/>
      <c r="R103" s="43"/>
      <c r="S103" s="43"/>
      <c r="T103" s="43"/>
      <c r="U103" s="45"/>
      <c r="V103" s="45"/>
      <c r="W103" s="46"/>
      <c r="X103" s="46"/>
      <c r="Y103" s="46"/>
      <c r="Z103" s="46"/>
      <c r="AA103" s="46"/>
      <c r="AB103" s="46"/>
      <c r="AC103" s="46"/>
      <c r="AD103" s="47"/>
      <c r="AE103" s="47"/>
      <c r="AF103" s="47"/>
      <c r="AG103" s="48" t="s">
        <v>342</v>
      </c>
      <c r="AH103" s="47"/>
      <c r="AI103" s="49"/>
      <c r="AJ103" s="49"/>
      <c r="AK103" s="50" t="str">
        <f>IFERROR(__xludf.DUMMYFUNCTION("""COMPUTED_VALUE"""),"50915875003298")</f>
        <v>50915875003298</v>
      </c>
    </row>
    <row r="104" ht="15.75" customHeight="1">
      <c r="A104" s="51">
        <v>130.0</v>
      </c>
      <c r="B104" s="51" t="s">
        <v>2075</v>
      </c>
      <c r="C104" s="51" t="s">
        <v>1015</v>
      </c>
      <c r="D104" s="51" t="s">
        <v>2234</v>
      </c>
      <c r="E104" s="51" t="s">
        <v>857</v>
      </c>
      <c r="F104" s="51" t="s">
        <v>254</v>
      </c>
      <c r="G104" s="51" t="s">
        <v>124</v>
      </c>
      <c r="H104" s="51" t="s">
        <v>1020</v>
      </c>
      <c r="I104" s="51">
        <v>123.0</v>
      </c>
      <c r="J104" s="51"/>
      <c r="K104" s="51" t="s">
        <v>1023</v>
      </c>
      <c r="L104" s="51" t="s">
        <v>271</v>
      </c>
      <c r="M104" s="51" t="s">
        <v>41</v>
      </c>
      <c r="N104" s="51" t="s">
        <v>1027</v>
      </c>
      <c r="O104" s="51"/>
      <c r="P104" s="51"/>
      <c r="Q104" s="51"/>
      <c r="R104" s="51"/>
      <c r="S104" s="51"/>
      <c r="T104" s="51"/>
      <c r="U104" s="52"/>
      <c r="V104" s="52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3" t="s">
        <v>342</v>
      </c>
      <c r="AH104" s="51"/>
      <c r="AI104" s="51"/>
      <c r="AJ104" s="51"/>
      <c r="AK104" s="50" t="str">
        <f>IFERROR(__xludf.DUMMYFUNCTION("""COMPUTED_VALUE"""),"58451055000106")</f>
        <v>58451055000106</v>
      </c>
    </row>
    <row r="105" ht="15.75" customHeight="1">
      <c r="A105" s="41">
        <v>151.0</v>
      </c>
      <c r="B105" s="41" t="s">
        <v>2080</v>
      </c>
      <c r="C105" s="41" t="s">
        <v>2079</v>
      </c>
      <c r="D105" s="41" t="s">
        <v>2239</v>
      </c>
      <c r="E105" s="41" t="s">
        <v>857</v>
      </c>
      <c r="F105" s="41" t="s">
        <v>124</v>
      </c>
      <c r="G105" s="41" t="s">
        <v>124</v>
      </c>
      <c r="H105" s="42" t="s">
        <v>670</v>
      </c>
      <c r="I105" s="42">
        <v>1692.0</v>
      </c>
      <c r="J105" s="42"/>
      <c r="K105" s="42" t="s">
        <v>673</v>
      </c>
      <c r="L105" s="42" t="s">
        <v>271</v>
      </c>
      <c r="M105" s="42" t="s">
        <v>41</v>
      </c>
      <c r="N105" s="42" t="s">
        <v>676</v>
      </c>
      <c r="O105" s="42"/>
      <c r="P105" s="42"/>
      <c r="Q105" s="43"/>
      <c r="R105" s="43"/>
      <c r="S105" s="43"/>
      <c r="T105" s="43"/>
      <c r="U105" s="45"/>
      <c r="V105" s="45"/>
      <c r="W105" s="46"/>
      <c r="X105" s="46"/>
      <c r="Y105" s="46"/>
      <c r="Z105" s="46"/>
      <c r="AA105" s="46"/>
      <c r="AB105" s="46"/>
      <c r="AC105" s="46"/>
      <c r="AD105" s="47"/>
      <c r="AE105" s="47"/>
      <c r="AF105" s="47"/>
      <c r="AG105" s="48" t="s">
        <v>342</v>
      </c>
      <c r="AH105" s="47"/>
      <c r="AI105" s="49"/>
      <c r="AJ105" s="49"/>
      <c r="AK105" s="50" t="str">
        <f>IFERROR(__xludf.DUMMYFUNCTION("""COMPUTED_VALUE"""),"54620686000142")</f>
        <v>54620686000142</v>
      </c>
    </row>
    <row r="106" ht="15.75" customHeight="1">
      <c r="A106" s="51">
        <v>201.0</v>
      </c>
      <c r="B106" s="51" t="s">
        <v>1134</v>
      </c>
      <c r="C106" s="51" t="s">
        <v>2081</v>
      </c>
      <c r="D106" s="51" t="s">
        <v>1138</v>
      </c>
      <c r="E106" s="51" t="s">
        <v>252</v>
      </c>
      <c r="F106" s="51" t="s">
        <v>2085</v>
      </c>
      <c r="G106" s="51" t="s">
        <v>233</v>
      </c>
      <c r="H106" s="51" t="s">
        <v>2084</v>
      </c>
      <c r="I106" s="51">
        <v>2045.0</v>
      </c>
      <c r="J106" s="51" t="s">
        <v>1135</v>
      </c>
      <c r="K106" s="51" t="s">
        <v>2083</v>
      </c>
      <c r="L106" s="51" t="s">
        <v>1137</v>
      </c>
      <c r="M106" s="51" t="s">
        <v>240</v>
      </c>
      <c r="N106" s="51" t="s">
        <v>2254</v>
      </c>
      <c r="O106" s="51" t="s">
        <v>351</v>
      </c>
      <c r="P106" s="51" t="s">
        <v>575</v>
      </c>
      <c r="Q106" s="51" t="s">
        <v>2256</v>
      </c>
      <c r="R106" s="51" t="s">
        <v>2257</v>
      </c>
      <c r="S106" s="51" t="s">
        <v>1145</v>
      </c>
      <c r="T106" s="51" t="s">
        <v>1147</v>
      </c>
      <c r="U106" s="52">
        <v>0.375</v>
      </c>
      <c r="V106" s="52">
        <v>0.75</v>
      </c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3" t="s">
        <v>342</v>
      </c>
      <c r="AH106" s="51"/>
      <c r="AI106" s="51"/>
      <c r="AJ106" s="51" t="s">
        <v>357</v>
      </c>
      <c r="AK106" s="50" t="str">
        <f>IFERROR(__xludf.DUMMYFUNCTION("""COMPUTED_VALUE"""),"78842440000183")</f>
        <v>78842440000183</v>
      </c>
    </row>
    <row r="107" ht="15.75" customHeight="1">
      <c r="A107" s="41">
        <v>202.0</v>
      </c>
      <c r="B107" s="41" t="s">
        <v>1148</v>
      </c>
      <c r="C107" s="41" t="s">
        <v>2081</v>
      </c>
      <c r="D107" s="41" t="s">
        <v>1154</v>
      </c>
      <c r="E107" s="41" t="s">
        <v>252</v>
      </c>
      <c r="F107" s="41" t="s">
        <v>2085</v>
      </c>
      <c r="G107" s="41" t="s">
        <v>233</v>
      </c>
      <c r="H107" s="42" t="s">
        <v>1695</v>
      </c>
      <c r="I107" s="42">
        <v>515.0</v>
      </c>
      <c r="J107" s="42" t="s">
        <v>1149</v>
      </c>
      <c r="K107" s="42" t="s">
        <v>39</v>
      </c>
      <c r="L107" s="42" t="s">
        <v>1151</v>
      </c>
      <c r="M107" s="42" t="s">
        <v>240</v>
      </c>
      <c r="N107" s="42" t="s">
        <v>2266</v>
      </c>
      <c r="O107" s="42" t="s">
        <v>351</v>
      </c>
      <c r="P107" s="42" t="s">
        <v>575</v>
      </c>
      <c r="Q107" s="43" t="s">
        <v>2268</v>
      </c>
      <c r="R107" s="43" t="s">
        <v>1157</v>
      </c>
      <c r="S107" s="43" t="s">
        <v>1160</v>
      </c>
      <c r="T107" s="43" t="s">
        <v>1162</v>
      </c>
      <c r="U107" s="45">
        <v>0.375</v>
      </c>
      <c r="V107" s="45">
        <v>0.7916666666666666</v>
      </c>
      <c r="W107" s="46"/>
      <c r="X107" s="46"/>
      <c r="Y107" s="46"/>
      <c r="Z107" s="46"/>
      <c r="AA107" s="46"/>
      <c r="AB107" s="46"/>
      <c r="AC107" s="46"/>
      <c r="AD107" s="47"/>
      <c r="AE107" s="47"/>
      <c r="AF107" s="47"/>
      <c r="AG107" s="48" t="s">
        <v>342</v>
      </c>
      <c r="AH107" s="47"/>
      <c r="AI107" s="49"/>
      <c r="AJ107" s="49" t="s">
        <v>357</v>
      </c>
      <c r="AK107" s="50" t="str">
        <f>IFERROR(__xludf.DUMMYFUNCTION("""COMPUTED_VALUE"""),"78842440002399")</f>
        <v>78842440002399</v>
      </c>
    </row>
    <row r="108" ht="15.75" customHeight="1">
      <c r="A108" s="51">
        <v>203.0</v>
      </c>
      <c r="B108" s="51" t="s">
        <v>2089</v>
      </c>
      <c r="C108" s="51" t="s">
        <v>2081</v>
      </c>
      <c r="D108" s="51" t="s">
        <v>2274</v>
      </c>
      <c r="E108" s="51" t="s">
        <v>857</v>
      </c>
      <c r="F108" s="51" t="s">
        <v>2085</v>
      </c>
      <c r="G108" s="51" t="s">
        <v>233</v>
      </c>
      <c r="H108" s="51" t="s">
        <v>2091</v>
      </c>
      <c r="I108" s="51">
        <v>256.0</v>
      </c>
      <c r="J108" s="51"/>
      <c r="K108" s="51" t="s">
        <v>2090</v>
      </c>
      <c r="L108" s="51" t="s">
        <v>1205</v>
      </c>
      <c r="M108" s="51" t="s">
        <v>240</v>
      </c>
      <c r="N108" s="51" t="s">
        <v>2276</v>
      </c>
      <c r="O108" s="51" t="s">
        <v>351</v>
      </c>
      <c r="P108" s="51" t="s">
        <v>575</v>
      </c>
      <c r="Q108" s="51"/>
      <c r="R108" s="51"/>
      <c r="S108" s="51"/>
      <c r="T108" s="51"/>
      <c r="U108" s="52"/>
      <c r="V108" s="52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3" t="s">
        <v>342</v>
      </c>
      <c r="AH108" s="51"/>
      <c r="AI108" s="51"/>
      <c r="AJ108" s="51"/>
      <c r="AK108" s="50" t="str">
        <f>IFERROR(__xludf.DUMMYFUNCTION("""COMPUTED_VALUE"""),"78842440009059")</f>
        <v>78842440009059</v>
      </c>
    </row>
    <row r="109" ht="15.75" customHeight="1">
      <c r="A109" s="41">
        <v>204.0</v>
      </c>
      <c r="B109" s="41" t="s">
        <v>2093</v>
      </c>
      <c r="C109" s="41" t="s">
        <v>2081</v>
      </c>
      <c r="D109" s="41" t="s">
        <v>1165</v>
      </c>
      <c r="E109" s="41" t="s">
        <v>857</v>
      </c>
      <c r="F109" s="41" t="s">
        <v>2085</v>
      </c>
      <c r="G109" s="41" t="s">
        <v>233</v>
      </c>
      <c r="H109" s="42" t="s">
        <v>2084</v>
      </c>
      <c r="I109" s="42">
        <v>2086.0</v>
      </c>
      <c r="J109" s="42" t="s">
        <v>1135</v>
      </c>
      <c r="K109" s="42" t="s">
        <v>2083</v>
      </c>
      <c r="L109" s="42" t="s">
        <v>1137</v>
      </c>
      <c r="M109" s="42" t="s">
        <v>240</v>
      </c>
      <c r="N109" s="42" t="s">
        <v>2281</v>
      </c>
      <c r="O109" s="42" t="s">
        <v>351</v>
      </c>
      <c r="P109" s="42" t="s">
        <v>575</v>
      </c>
      <c r="Q109" s="43" t="s">
        <v>2282</v>
      </c>
      <c r="R109" s="43" t="s">
        <v>2284</v>
      </c>
      <c r="S109" s="43" t="s">
        <v>1171</v>
      </c>
      <c r="T109" s="43" t="s">
        <v>1172</v>
      </c>
      <c r="U109" s="45">
        <v>0.375</v>
      </c>
      <c r="V109" s="45">
        <v>0.7916666666666666</v>
      </c>
      <c r="W109" s="46"/>
      <c r="X109" s="46"/>
      <c r="Y109" s="46"/>
      <c r="Z109" s="46"/>
      <c r="AA109" s="46"/>
      <c r="AB109" s="46"/>
      <c r="AC109" s="46"/>
      <c r="AD109" s="47"/>
      <c r="AE109" s="47"/>
      <c r="AF109" s="47"/>
      <c r="AG109" s="48" t="s">
        <v>342</v>
      </c>
      <c r="AH109" s="47"/>
      <c r="AI109" s="49"/>
      <c r="AJ109" s="49" t="s">
        <v>357</v>
      </c>
      <c r="AK109" s="50" t="str">
        <f>IFERROR(__xludf.DUMMYFUNCTION("""COMPUTED_VALUE"""),"78842440000930")</f>
        <v>78842440000930</v>
      </c>
    </row>
    <row r="110" ht="15.75" customHeight="1">
      <c r="A110" s="51">
        <v>205.0</v>
      </c>
      <c r="B110" s="51" t="s">
        <v>2096</v>
      </c>
      <c r="C110" s="51" t="s">
        <v>2081</v>
      </c>
      <c r="D110" s="51" t="s">
        <v>1176</v>
      </c>
      <c r="E110" s="51" t="s">
        <v>252</v>
      </c>
      <c r="F110" s="51" t="s">
        <v>2085</v>
      </c>
      <c r="G110" s="51" t="s">
        <v>233</v>
      </c>
      <c r="H110" s="51" t="s">
        <v>1346</v>
      </c>
      <c r="I110" s="51">
        <v>103.0</v>
      </c>
      <c r="J110" s="51" t="s">
        <v>1174</v>
      </c>
      <c r="K110" s="51" t="s">
        <v>2097</v>
      </c>
      <c r="L110" s="51" t="s">
        <v>1137</v>
      </c>
      <c r="M110" s="51" t="s">
        <v>240</v>
      </c>
      <c r="N110" s="51" t="s">
        <v>1345</v>
      </c>
      <c r="O110" s="51" t="s">
        <v>351</v>
      </c>
      <c r="P110" s="51" t="s">
        <v>575</v>
      </c>
      <c r="Q110" s="51" t="s">
        <v>2288</v>
      </c>
      <c r="R110" s="51" t="s">
        <v>2289</v>
      </c>
      <c r="S110" s="51" t="s">
        <v>1179</v>
      </c>
      <c r="T110" s="51" t="s">
        <v>1181</v>
      </c>
      <c r="U110" s="52">
        <v>0.4166666666666667</v>
      </c>
      <c r="V110" s="52">
        <v>0.9166666666666666</v>
      </c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3" t="s">
        <v>342</v>
      </c>
      <c r="AH110" s="51"/>
      <c r="AI110" s="51"/>
      <c r="AJ110" s="51" t="s">
        <v>357</v>
      </c>
      <c r="AK110" s="50" t="str">
        <f>IFERROR(__xludf.DUMMYFUNCTION("""COMPUTED_VALUE"""),"78842440002046")</f>
        <v>78842440002046</v>
      </c>
    </row>
    <row r="111" ht="15.75" customHeight="1">
      <c r="A111" s="41">
        <v>208.0</v>
      </c>
      <c r="B111" s="41" t="s">
        <v>1182</v>
      </c>
      <c r="C111" s="41" t="s">
        <v>2081</v>
      </c>
      <c r="D111" s="41" t="s">
        <v>1185</v>
      </c>
      <c r="E111" s="41" t="s">
        <v>252</v>
      </c>
      <c r="F111" s="41" t="s">
        <v>2085</v>
      </c>
      <c r="G111" s="41" t="s">
        <v>233</v>
      </c>
      <c r="H111" s="42" t="s">
        <v>2104</v>
      </c>
      <c r="I111" s="42">
        <v>91.0</v>
      </c>
      <c r="J111" s="42" t="s">
        <v>1183</v>
      </c>
      <c r="K111" s="42" t="s">
        <v>39</v>
      </c>
      <c r="L111" s="42" t="s">
        <v>1184</v>
      </c>
      <c r="M111" s="42" t="s">
        <v>240</v>
      </c>
      <c r="N111" s="42" t="s">
        <v>2293</v>
      </c>
      <c r="O111" s="42" t="s">
        <v>351</v>
      </c>
      <c r="P111" s="42" t="s">
        <v>575</v>
      </c>
      <c r="Q111" s="43" t="s">
        <v>2294</v>
      </c>
      <c r="R111" s="43" t="s">
        <v>2294</v>
      </c>
      <c r="S111" s="43" t="s">
        <v>1188</v>
      </c>
      <c r="T111" s="43" t="s">
        <v>1190</v>
      </c>
      <c r="U111" s="45">
        <v>0.375</v>
      </c>
      <c r="V111" s="45">
        <v>0.7916666666666666</v>
      </c>
      <c r="W111" s="46"/>
      <c r="X111" s="46"/>
      <c r="Y111" s="46"/>
      <c r="Z111" s="46"/>
      <c r="AA111" s="46"/>
      <c r="AB111" s="46"/>
      <c r="AC111" s="46"/>
      <c r="AD111" s="47"/>
      <c r="AE111" s="47"/>
      <c r="AF111" s="47"/>
      <c r="AG111" s="48" t="s">
        <v>342</v>
      </c>
      <c r="AH111" s="47"/>
      <c r="AI111" s="49"/>
      <c r="AJ111" s="49" t="s">
        <v>357</v>
      </c>
      <c r="AK111" s="50" t="str">
        <f>IFERROR(__xludf.DUMMYFUNCTION("""COMPUTED_VALUE"""),"78842440000264")</f>
        <v>78842440000264</v>
      </c>
    </row>
    <row r="112" ht="15.75" customHeight="1">
      <c r="A112" s="51">
        <v>209.0</v>
      </c>
      <c r="B112" s="51" t="s">
        <v>1193</v>
      </c>
      <c r="C112" s="51" t="s">
        <v>2081</v>
      </c>
      <c r="D112" s="51" t="s">
        <v>1196</v>
      </c>
      <c r="E112" s="51" t="s">
        <v>252</v>
      </c>
      <c r="F112" s="51" t="s">
        <v>2085</v>
      </c>
      <c r="G112" s="51" t="s">
        <v>233</v>
      </c>
      <c r="H112" s="51" t="s">
        <v>2106</v>
      </c>
      <c r="I112" s="51">
        <v>304.0</v>
      </c>
      <c r="J112" s="51" t="s">
        <v>1194</v>
      </c>
      <c r="K112" s="51" t="s">
        <v>39</v>
      </c>
      <c r="L112" s="51" t="s">
        <v>1137</v>
      </c>
      <c r="M112" s="51" t="s">
        <v>240</v>
      </c>
      <c r="N112" s="51" t="s">
        <v>2297</v>
      </c>
      <c r="O112" s="51" t="s">
        <v>351</v>
      </c>
      <c r="P112" s="51" t="s">
        <v>575</v>
      </c>
      <c r="Q112" s="51" t="s">
        <v>2298</v>
      </c>
      <c r="R112" s="51" t="s">
        <v>2299</v>
      </c>
      <c r="S112" s="51" t="s">
        <v>1199</v>
      </c>
      <c r="T112" s="51" t="s">
        <v>1200</v>
      </c>
      <c r="U112" s="52">
        <v>0.375</v>
      </c>
      <c r="V112" s="52">
        <v>0.7916666666666666</v>
      </c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3" t="s">
        <v>427</v>
      </c>
      <c r="AH112" s="51"/>
      <c r="AI112" s="51"/>
      <c r="AJ112" s="51" t="s">
        <v>357</v>
      </c>
      <c r="AK112" s="50" t="str">
        <f>IFERROR(__xludf.DUMMYFUNCTION("""COMPUTED_VALUE"""),"78842440000345")</f>
        <v>78842440000345</v>
      </c>
    </row>
    <row r="113" ht="15.75" customHeight="1">
      <c r="A113" s="41">
        <v>211.0</v>
      </c>
      <c r="B113" s="41" t="s">
        <v>1202</v>
      </c>
      <c r="C113" s="41" t="s">
        <v>2081</v>
      </c>
      <c r="D113" s="41" t="s">
        <v>1206</v>
      </c>
      <c r="E113" s="41" t="s">
        <v>252</v>
      </c>
      <c r="F113" s="41" t="s">
        <v>2085</v>
      </c>
      <c r="G113" s="41" t="s">
        <v>233</v>
      </c>
      <c r="H113" s="42" t="s">
        <v>2108</v>
      </c>
      <c r="I113" s="42">
        <v>1079.0</v>
      </c>
      <c r="J113" s="42" t="s">
        <v>1203</v>
      </c>
      <c r="K113" s="42" t="s">
        <v>1204</v>
      </c>
      <c r="L113" s="42" t="s">
        <v>1205</v>
      </c>
      <c r="M113" s="42" t="s">
        <v>240</v>
      </c>
      <c r="N113" s="42" t="s">
        <v>2301</v>
      </c>
      <c r="O113" s="42" t="s">
        <v>351</v>
      </c>
      <c r="P113" s="42" t="s">
        <v>575</v>
      </c>
      <c r="Q113" s="43" t="s">
        <v>2303</v>
      </c>
      <c r="R113" s="43" t="s">
        <v>2305</v>
      </c>
      <c r="S113" s="43" t="s">
        <v>1209</v>
      </c>
      <c r="T113" s="43" t="s">
        <v>1210</v>
      </c>
      <c r="U113" s="45">
        <v>0.4166666666666667</v>
      </c>
      <c r="V113" s="45">
        <v>0.9166666666666666</v>
      </c>
      <c r="W113" s="46"/>
      <c r="X113" s="46"/>
      <c r="Y113" s="46"/>
      <c r="Z113" s="46"/>
      <c r="AA113" s="46"/>
      <c r="AB113" s="46"/>
      <c r="AC113" s="46"/>
      <c r="AD113" s="47"/>
      <c r="AE113" s="47"/>
      <c r="AF113" s="47"/>
      <c r="AG113" s="48" t="s">
        <v>342</v>
      </c>
      <c r="AH113" s="47"/>
      <c r="AI113" s="49"/>
      <c r="AJ113" s="49" t="s">
        <v>357</v>
      </c>
      <c r="AK113" s="50" t="str">
        <f>IFERROR(__xludf.DUMMYFUNCTION("""COMPUTED_VALUE"""),"78842440000426")</f>
        <v>78842440000426</v>
      </c>
    </row>
    <row r="114" ht="15.75" customHeight="1">
      <c r="A114" s="51">
        <v>212.0</v>
      </c>
      <c r="B114" s="51" t="s">
        <v>1211</v>
      </c>
      <c r="C114" s="51" t="s">
        <v>2081</v>
      </c>
      <c r="D114" s="51" t="s">
        <v>1215</v>
      </c>
      <c r="E114" s="51" t="s">
        <v>252</v>
      </c>
      <c r="F114" s="51" t="s">
        <v>2085</v>
      </c>
      <c r="G114" s="51" t="s">
        <v>233</v>
      </c>
      <c r="H114" s="51" t="s">
        <v>2112</v>
      </c>
      <c r="I114" s="51">
        <v>864.0</v>
      </c>
      <c r="J114" s="51" t="s">
        <v>1212</v>
      </c>
      <c r="K114" s="51" t="s">
        <v>1213</v>
      </c>
      <c r="L114" s="51" t="s">
        <v>1205</v>
      </c>
      <c r="M114" s="51" t="s">
        <v>240</v>
      </c>
      <c r="N114" s="51" t="s">
        <v>2311</v>
      </c>
      <c r="O114" s="51" t="s">
        <v>351</v>
      </c>
      <c r="P114" s="51" t="s">
        <v>575</v>
      </c>
      <c r="Q114" s="51" t="s">
        <v>2312</v>
      </c>
      <c r="R114" s="51" t="s">
        <v>2313</v>
      </c>
      <c r="S114" s="51" t="s">
        <v>1221</v>
      </c>
      <c r="T114" s="51" t="s">
        <v>1222</v>
      </c>
      <c r="U114" s="52">
        <v>0.375</v>
      </c>
      <c r="V114" s="52">
        <v>0.7916666666666666</v>
      </c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3" t="s">
        <v>342</v>
      </c>
      <c r="AH114" s="51"/>
      <c r="AI114" s="51"/>
      <c r="AJ114" s="51" t="s">
        <v>357</v>
      </c>
      <c r="AK114" s="50" t="str">
        <f>IFERROR(__xludf.DUMMYFUNCTION("""COMPUTED_VALUE"""),"78842440001406")</f>
        <v>78842440001406</v>
      </c>
    </row>
    <row r="115" ht="15.75" customHeight="1">
      <c r="A115" s="41">
        <v>214.0</v>
      </c>
      <c r="B115" s="41" t="s">
        <v>1223</v>
      </c>
      <c r="C115" s="41" t="s">
        <v>2081</v>
      </c>
      <c r="D115" s="41" t="s">
        <v>1226</v>
      </c>
      <c r="E115" s="41" t="s">
        <v>252</v>
      </c>
      <c r="F115" s="41" t="s">
        <v>2085</v>
      </c>
      <c r="G115" s="41" t="s">
        <v>233</v>
      </c>
      <c r="H115" s="42" t="s">
        <v>2113</v>
      </c>
      <c r="I115" s="42">
        <v>680.0</v>
      </c>
      <c r="J115" s="42" t="s">
        <v>1224</v>
      </c>
      <c r="K115" s="42" t="s">
        <v>39</v>
      </c>
      <c r="L115" s="42" t="s">
        <v>1225</v>
      </c>
      <c r="M115" s="42" t="s">
        <v>240</v>
      </c>
      <c r="N115" s="42" t="s">
        <v>2320</v>
      </c>
      <c r="O115" s="42" t="s">
        <v>351</v>
      </c>
      <c r="P115" s="42" t="s">
        <v>575</v>
      </c>
      <c r="Q115" s="43" t="s">
        <v>2321</v>
      </c>
      <c r="R115" s="43" t="s">
        <v>2322</v>
      </c>
      <c r="S115" s="43" t="s">
        <v>1229</v>
      </c>
      <c r="T115" s="43" t="s">
        <v>1230</v>
      </c>
      <c r="U115" s="45">
        <v>0.375</v>
      </c>
      <c r="V115" s="45">
        <v>0.7916666666666666</v>
      </c>
      <c r="W115" s="46"/>
      <c r="X115" s="46"/>
      <c r="Y115" s="46"/>
      <c r="Z115" s="46"/>
      <c r="AA115" s="46"/>
      <c r="AB115" s="46"/>
      <c r="AC115" s="46"/>
      <c r="AD115" s="47"/>
      <c r="AE115" s="47"/>
      <c r="AF115" s="47"/>
      <c r="AG115" s="48" t="s">
        <v>427</v>
      </c>
      <c r="AH115" s="47"/>
      <c r="AI115" s="49"/>
      <c r="AJ115" s="49" t="s">
        <v>357</v>
      </c>
      <c r="AK115" s="50" t="str">
        <f>IFERROR(__xludf.DUMMYFUNCTION("""COMPUTED_VALUE"""),"78842440000507")</f>
        <v>78842440000507</v>
      </c>
    </row>
    <row r="116" ht="15.75" customHeight="1">
      <c r="A116" s="51">
        <v>215.0</v>
      </c>
      <c r="B116" s="51" t="s">
        <v>1231</v>
      </c>
      <c r="C116" s="51" t="s">
        <v>2081</v>
      </c>
      <c r="D116" s="51" t="s">
        <v>1233</v>
      </c>
      <c r="E116" s="51" t="s">
        <v>252</v>
      </c>
      <c r="F116" s="51" t="s">
        <v>2085</v>
      </c>
      <c r="G116" s="51" t="s">
        <v>233</v>
      </c>
      <c r="H116" s="51" t="s">
        <v>2106</v>
      </c>
      <c r="I116" s="51">
        <v>395.0</v>
      </c>
      <c r="J116" s="51" t="s">
        <v>1194</v>
      </c>
      <c r="K116" s="51" t="s">
        <v>39</v>
      </c>
      <c r="L116" s="51" t="s">
        <v>1137</v>
      </c>
      <c r="M116" s="51" t="s">
        <v>240</v>
      </c>
      <c r="N116" s="51" t="s">
        <v>2325</v>
      </c>
      <c r="O116" s="51" t="s">
        <v>351</v>
      </c>
      <c r="P116" s="51" t="s">
        <v>575</v>
      </c>
      <c r="Q116" s="51" t="s">
        <v>2326</v>
      </c>
      <c r="R116" s="51" t="s">
        <v>2327</v>
      </c>
      <c r="S116" s="51" t="s">
        <v>1236</v>
      </c>
      <c r="T116" s="51" t="s">
        <v>1237</v>
      </c>
      <c r="U116" s="52">
        <v>0.375</v>
      </c>
      <c r="V116" s="52">
        <v>0.7916666666666666</v>
      </c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3" t="s">
        <v>342</v>
      </c>
      <c r="AH116" s="51"/>
      <c r="AI116" s="51"/>
      <c r="AJ116" s="51" t="s">
        <v>357</v>
      </c>
      <c r="AK116" s="50" t="str">
        <f>IFERROR(__xludf.DUMMYFUNCTION("""COMPUTED_VALUE"""),"78842440001740")</f>
        <v>78842440001740</v>
      </c>
    </row>
    <row r="117" ht="15.75" customHeight="1">
      <c r="A117" s="41">
        <v>216.0</v>
      </c>
      <c r="B117" s="41" t="s">
        <v>1238</v>
      </c>
      <c r="C117" s="41" t="s">
        <v>2081</v>
      </c>
      <c r="D117" s="41" t="s">
        <v>1241</v>
      </c>
      <c r="E117" s="41" t="s">
        <v>252</v>
      </c>
      <c r="F117" s="41" t="s">
        <v>2085</v>
      </c>
      <c r="G117" s="41" t="s">
        <v>233</v>
      </c>
      <c r="H117" s="42" t="s">
        <v>2115</v>
      </c>
      <c r="I117" s="42">
        <v>210.0</v>
      </c>
      <c r="J117" s="42" t="s">
        <v>1239</v>
      </c>
      <c r="K117" s="42" t="s">
        <v>39</v>
      </c>
      <c r="L117" s="42" t="s">
        <v>1137</v>
      </c>
      <c r="M117" s="42" t="s">
        <v>240</v>
      </c>
      <c r="N117" s="42" t="s">
        <v>2332</v>
      </c>
      <c r="O117" s="42" t="s">
        <v>351</v>
      </c>
      <c r="P117" s="42" t="s">
        <v>575</v>
      </c>
      <c r="Q117" s="43" t="s">
        <v>2333</v>
      </c>
      <c r="R117" s="43" t="s">
        <v>1243</v>
      </c>
      <c r="S117" s="43" t="s">
        <v>1244</v>
      </c>
      <c r="T117" s="43" t="s">
        <v>1245</v>
      </c>
      <c r="U117" s="45">
        <v>0.375</v>
      </c>
      <c r="V117" s="45">
        <v>0.7916666666666666</v>
      </c>
      <c r="W117" s="46"/>
      <c r="X117" s="46"/>
      <c r="Y117" s="46"/>
      <c r="Z117" s="46"/>
      <c r="AA117" s="46"/>
      <c r="AB117" s="46"/>
      <c r="AC117" s="46"/>
      <c r="AD117" s="47"/>
      <c r="AE117" s="47"/>
      <c r="AF117" s="47"/>
      <c r="AG117" s="48" t="s">
        <v>342</v>
      </c>
      <c r="AH117" s="47"/>
      <c r="AI117" s="49"/>
      <c r="AJ117" s="49" t="s">
        <v>357</v>
      </c>
      <c r="AK117" s="50" t="str">
        <f>IFERROR(__xludf.DUMMYFUNCTION("""COMPUTED_VALUE"""),"78842440001660")</f>
        <v>78842440001660</v>
      </c>
    </row>
    <row r="118" ht="15.75" customHeight="1">
      <c r="A118" s="51">
        <v>217.0</v>
      </c>
      <c r="B118" s="51" t="s">
        <v>1248</v>
      </c>
      <c r="C118" s="51" t="s">
        <v>2081</v>
      </c>
      <c r="D118" s="51" t="s">
        <v>1251</v>
      </c>
      <c r="E118" s="51" t="s">
        <v>252</v>
      </c>
      <c r="F118" s="51" t="s">
        <v>2085</v>
      </c>
      <c r="G118" s="51" t="s">
        <v>233</v>
      </c>
      <c r="H118" s="51" t="s">
        <v>2108</v>
      </c>
      <c r="I118" s="51">
        <v>1079.0</v>
      </c>
      <c r="J118" s="51" t="s">
        <v>1203</v>
      </c>
      <c r="K118" s="51" t="s">
        <v>1204</v>
      </c>
      <c r="L118" s="51" t="s">
        <v>1205</v>
      </c>
      <c r="M118" s="51" t="s">
        <v>240</v>
      </c>
      <c r="N118" s="51" t="s">
        <v>2301</v>
      </c>
      <c r="O118" s="51" t="s">
        <v>351</v>
      </c>
      <c r="P118" s="51" t="s">
        <v>575</v>
      </c>
      <c r="Q118" s="51" t="s">
        <v>2338</v>
      </c>
      <c r="R118" s="51" t="s">
        <v>2339</v>
      </c>
      <c r="S118" s="51" t="s">
        <v>1256</v>
      </c>
      <c r="T118" s="51" t="s">
        <v>1257</v>
      </c>
      <c r="U118" s="52">
        <v>0.4166666666666667</v>
      </c>
      <c r="V118" s="52">
        <v>0.9166666666666666</v>
      </c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3" t="s">
        <v>342</v>
      </c>
      <c r="AH118" s="51"/>
      <c r="AI118" s="51"/>
      <c r="AJ118" s="51" t="s">
        <v>357</v>
      </c>
      <c r="AK118" s="50" t="str">
        <f>IFERROR(__xludf.DUMMYFUNCTION("""COMPUTED_VALUE"""),"78842440001589")</f>
        <v>78842440001589</v>
      </c>
    </row>
    <row r="119" ht="15.75" customHeight="1">
      <c r="A119" s="41">
        <v>218.0</v>
      </c>
      <c r="B119" s="41" t="s">
        <v>1258</v>
      </c>
      <c r="C119" s="41" t="s">
        <v>2081</v>
      </c>
      <c r="D119" s="41" t="s">
        <v>1261</v>
      </c>
      <c r="E119" s="41" t="s">
        <v>252</v>
      </c>
      <c r="F119" s="41" t="s">
        <v>2085</v>
      </c>
      <c r="G119" s="41" t="s">
        <v>233</v>
      </c>
      <c r="H119" s="42" t="s">
        <v>2117</v>
      </c>
      <c r="I119" s="42">
        <v>687.0</v>
      </c>
      <c r="J119" s="42" t="s">
        <v>1259</v>
      </c>
      <c r="K119" s="42" t="s">
        <v>1260</v>
      </c>
      <c r="L119" s="42" t="s">
        <v>1137</v>
      </c>
      <c r="M119" s="42" t="s">
        <v>240</v>
      </c>
      <c r="N119" s="42" t="s">
        <v>2341</v>
      </c>
      <c r="O119" s="42" t="s">
        <v>351</v>
      </c>
      <c r="P119" s="42" t="s">
        <v>575</v>
      </c>
      <c r="Q119" s="43" t="s">
        <v>2342</v>
      </c>
      <c r="R119" s="43" t="s">
        <v>2343</v>
      </c>
      <c r="S119" s="43" t="s">
        <v>1266</v>
      </c>
      <c r="T119" s="43" t="s">
        <v>1267</v>
      </c>
      <c r="U119" s="45">
        <v>0.4166666666666667</v>
      </c>
      <c r="V119" s="45">
        <v>0.9166666666666666</v>
      </c>
      <c r="W119" s="46"/>
      <c r="X119" s="46"/>
      <c r="Y119" s="46"/>
      <c r="Z119" s="46"/>
      <c r="AA119" s="46"/>
      <c r="AB119" s="46"/>
      <c r="AC119" s="46"/>
      <c r="AD119" s="47"/>
      <c r="AE119" s="47"/>
      <c r="AF119" s="47"/>
      <c r="AG119" s="48" t="s">
        <v>342</v>
      </c>
      <c r="AH119" s="47"/>
      <c r="AI119" s="49"/>
      <c r="AJ119" s="49" t="s">
        <v>357</v>
      </c>
      <c r="AK119" s="50" t="str">
        <f>IFERROR(__xludf.DUMMYFUNCTION("""COMPUTED_VALUE"""),"78842440000698")</f>
        <v>78842440000698</v>
      </c>
    </row>
    <row r="120" ht="15.75" customHeight="1">
      <c r="A120" s="51">
        <v>219.0</v>
      </c>
      <c r="B120" s="51" t="s">
        <v>1269</v>
      </c>
      <c r="C120" s="51" t="s">
        <v>2081</v>
      </c>
      <c r="D120" s="51" t="s">
        <v>1271</v>
      </c>
      <c r="E120" s="51" t="s">
        <v>252</v>
      </c>
      <c r="F120" s="51" t="s">
        <v>2085</v>
      </c>
      <c r="G120" s="51" t="s">
        <v>233</v>
      </c>
      <c r="H120" s="51" t="s">
        <v>2106</v>
      </c>
      <c r="I120" s="51">
        <v>107.0</v>
      </c>
      <c r="J120" s="51" t="s">
        <v>1194</v>
      </c>
      <c r="K120" s="51" t="s">
        <v>39</v>
      </c>
      <c r="L120" s="51" t="s">
        <v>1137</v>
      </c>
      <c r="M120" s="51" t="s">
        <v>240</v>
      </c>
      <c r="N120" s="51" t="s">
        <v>2297</v>
      </c>
      <c r="O120" s="51" t="s">
        <v>351</v>
      </c>
      <c r="P120" s="51" t="s">
        <v>575</v>
      </c>
      <c r="Q120" s="51" t="s">
        <v>2346</v>
      </c>
      <c r="R120" s="51" t="s">
        <v>2347</v>
      </c>
      <c r="S120" s="51" t="s">
        <v>1275</v>
      </c>
      <c r="T120" s="51" t="s">
        <v>1276</v>
      </c>
      <c r="U120" s="52">
        <v>0.375</v>
      </c>
      <c r="V120" s="52">
        <v>0.7916666666666666</v>
      </c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3" t="s">
        <v>342</v>
      </c>
      <c r="AH120" s="51"/>
      <c r="AI120" s="51"/>
      <c r="AJ120" s="51" t="s">
        <v>357</v>
      </c>
      <c r="AK120" s="50" t="str">
        <f>IFERROR(__xludf.DUMMYFUNCTION("""COMPUTED_VALUE"""),"78842440000779")</f>
        <v>78842440000779</v>
      </c>
    </row>
    <row r="121" ht="15.75" customHeight="1">
      <c r="A121" s="41">
        <v>221.0</v>
      </c>
      <c r="B121" s="41" t="s">
        <v>1277</v>
      </c>
      <c r="C121" s="41" t="s">
        <v>2081</v>
      </c>
      <c r="D121" s="41" t="s">
        <v>1279</v>
      </c>
      <c r="E121" s="41" t="s">
        <v>252</v>
      </c>
      <c r="F121" s="41" t="s">
        <v>2085</v>
      </c>
      <c r="G121" s="41" t="s">
        <v>233</v>
      </c>
      <c r="H121" s="42" t="s">
        <v>2115</v>
      </c>
      <c r="I121" s="42">
        <v>170.0</v>
      </c>
      <c r="J121" s="42" t="s">
        <v>1239</v>
      </c>
      <c r="K121" s="42" t="s">
        <v>39</v>
      </c>
      <c r="L121" s="42" t="s">
        <v>1137</v>
      </c>
      <c r="M121" s="42" t="s">
        <v>240</v>
      </c>
      <c r="N121" s="42" t="s">
        <v>2332</v>
      </c>
      <c r="O121" s="42" t="s">
        <v>351</v>
      </c>
      <c r="P121" s="42" t="s">
        <v>575</v>
      </c>
      <c r="Q121" s="43" t="s">
        <v>2351</v>
      </c>
      <c r="R121" s="43" t="s">
        <v>2352</v>
      </c>
      <c r="S121" s="43" t="s">
        <v>1284</v>
      </c>
      <c r="T121" s="43" t="s">
        <v>1285</v>
      </c>
      <c r="U121" s="45">
        <v>0.375</v>
      </c>
      <c r="V121" s="45">
        <v>0.7916666666666666</v>
      </c>
      <c r="W121" s="46"/>
      <c r="X121" s="46"/>
      <c r="Y121" s="46"/>
      <c r="Z121" s="46"/>
      <c r="AA121" s="46"/>
      <c r="AB121" s="46"/>
      <c r="AC121" s="46"/>
      <c r="AD121" s="47"/>
      <c r="AE121" s="47"/>
      <c r="AF121" s="47"/>
      <c r="AG121" s="48" t="s">
        <v>342</v>
      </c>
      <c r="AH121" s="47"/>
      <c r="AI121" s="49"/>
      <c r="AJ121" s="49" t="s">
        <v>357</v>
      </c>
      <c r="AK121" s="50" t="str">
        <f>IFERROR(__xludf.DUMMYFUNCTION("""COMPUTED_VALUE"""),"78842440001155")</f>
        <v>78842440001155</v>
      </c>
    </row>
    <row r="122" ht="15.75" customHeight="1">
      <c r="A122" s="51">
        <v>223.0</v>
      </c>
      <c r="B122" s="51" t="s">
        <v>1288</v>
      </c>
      <c r="C122" s="51" t="s">
        <v>2081</v>
      </c>
      <c r="D122" s="51" t="s">
        <v>1291</v>
      </c>
      <c r="E122" s="51" t="s">
        <v>252</v>
      </c>
      <c r="F122" s="51" t="s">
        <v>2085</v>
      </c>
      <c r="G122" s="51" t="s">
        <v>233</v>
      </c>
      <c r="H122" s="51" t="s">
        <v>2108</v>
      </c>
      <c r="I122" s="51">
        <v>1079.0</v>
      </c>
      <c r="J122" s="51" t="s">
        <v>1203</v>
      </c>
      <c r="K122" s="51" t="s">
        <v>1204</v>
      </c>
      <c r="L122" s="51" t="s">
        <v>1205</v>
      </c>
      <c r="M122" s="51" t="s">
        <v>240</v>
      </c>
      <c r="N122" s="51" t="s">
        <v>2301</v>
      </c>
      <c r="O122" s="51" t="s">
        <v>351</v>
      </c>
      <c r="P122" s="51" t="s">
        <v>575</v>
      </c>
      <c r="Q122" s="51" t="s">
        <v>2359</v>
      </c>
      <c r="R122" s="51" t="s">
        <v>2359</v>
      </c>
      <c r="S122" s="51" t="s">
        <v>1295</v>
      </c>
      <c r="T122" s="51" t="s">
        <v>1296</v>
      </c>
      <c r="U122" s="52">
        <v>0.4166666666666667</v>
      </c>
      <c r="V122" s="52">
        <v>0.9166666666666666</v>
      </c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3" t="s">
        <v>342</v>
      </c>
      <c r="AH122" s="51"/>
      <c r="AI122" s="51"/>
      <c r="AJ122" s="51" t="s">
        <v>357</v>
      </c>
      <c r="AK122" s="50" t="str">
        <f>IFERROR(__xludf.DUMMYFUNCTION("""COMPUTED_VALUE"""),"78842440001074")</f>
        <v>78842440001074</v>
      </c>
    </row>
    <row r="123" ht="15.75" customHeight="1">
      <c r="A123" s="41">
        <v>224.0</v>
      </c>
      <c r="B123" s="41" t="s">
        <v>1297</v>
      </c>
      <c r="C123" s="41" t="s">
        <v>2081</v>
      </c>
      <c r="D123" s="41" t="s">
        <v>1300</v>
      </c>
      <c r="E123" s="41" t="s">
        <v>252</v>
      </c>
      <c r="F123" s="41" t="s">
        <v>2085</v>
      </c>
      <c r="G123" s="41" t="s">
        <v>233</v>
      </c>
      <c r="H123" s="42" t="s">
        <v>258</v>
      </c>
      <c r="I123" s="42">
        <v>113.0</v>
      </c>
      <c r="J123" s="42" t="s">
        <v>1299</v>
      </c>
      <c r="K123" s="42" t="s">
        <v>39</v>
      </c>
      <c r="L123" s="42" t="s">
        <v>1137</v>
      </c>
      <c r="M123" s="42" t="s">
        <v>240</v>
      </c>
      <c r="N123" s="42" t="s">
        <v>2363</v>
      </c>
      <c r="O123" s="42" t="s">
        <v>351</v>
      </c>
      <c r="P123" s="42" t="s">
        <v>575</v>
      </c>
      <c r="Q123" s="43" t="s">
        <v>2365</v>
      </c>
      <c r="R123" s="43" t="s">
        <v>2366</v>
      </c>
      <c r="S123" s="43" t="s">
        <v>1304</v>
      </c>
      <c r="T123" s="43" t="s">
        <v>1306</v>
      </c>
      <c r="U123" s="45">
        <v>0.375</v>
      </c>
      <c r="V123" s="45">
        <v>0.7916666666666666</v>
      </c>
      <c r="W123" s="46"/>
      <c r="X123" s="46"/>
      <c r="Y123" s="46"/>
      <c r="Z123" s="46"/>
      <c r="AA123" s="46"/>
      <c r="AB123" s="46"/>
      <c r="AC123" s="46"/>
      <c r="AD123" s="47"/>
      <c r="AE123" s="47"/>
      <c r="AF123" s="47"/>
      <c r="AG123" s="48" t="s">
        <v>427</v>
      </c>
      <c r="AH123" s="47"/>
      <c r="AI123" s="49"/>
      <c r="AJ123" s="49" t="s">
        <v>357</v>
      </c>
      <c r="AK123" s="50" t="str">
        <f>IFERROR(__xludf.DUMMYFUNCTION("""COMPUTED_VALUE"""),"78842440001236")</f>
        <v>78842440001236</v>
      </c>
    </row>
    <row r="124" ht="15.75" customHeight="1">
      <c r="A124" s="51">
        <v>225.0</v>
      </c>
      <c r="B124" s="51" t="s">
        <v>1307</v>
      </c>
      <c r="C124" s="51" t="s">
        <v>2081</v>
      </c>
      <c r="D124" s="51" t="s">
        <v>1311</v>
      </c>
      <c r="E124" s="51" t="s">
        <v>252</v>
      </c>
      <c r="F124" s="51" t="s">
        <v>2085</v>
      </c>
      <c r="G124" s="51" t="s">
        <v>233</v>
      </c>
      <c r="H124" s="51" t="s">
        <v>2124</v>
      </c>
      <c r="I124" s="51">
        <v>69.0</v>
      </c>
      <c r="J124" s="51" t="s">
        <v>1309</v>
      </c>
      <c r="K124" s="51" t="s">
        <v>39</v>
      </c>
      <c r="L124" s="51" t="s">
        <v>1310</v>
      </c>
      <c r="M124" s="51" t="s">
        <v>240</v>
      </c>
      <c r="N124" s="51" t="s">
        <v>2374</v>
      </c>
      <c r="O124" s="51" t="s">
        <v>351</v>
      </c>
      <c r="P124" s="51" t="s">
        <v>575</v>
      </c>
      <c r="Q124" s="51" t="s">
        <v>2376</v>
      </c>
      <c r="R124" s="51" t="s">
        <v>2376</v>
      </c>
      <c r="S124" s="51" t="s">
        <v>1314</v>
      </c>
      <c r="T124" s="51" t="s">
        <v>1315</v>
      </c>
      <c r="U124" s="52">
        <v>0.375</v>
      </c>
      <c r="V124" s="52">
        <v>0.7916666666666666</v>
      </c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3" t="s">
        <v>342</v>
      </c>
      <c r="AH124" s="51"/>
      <c r="AI124" s="51"/>
      <c r="AJ124" s="51" t="s">
        <v>357</v>
      </c>
      <c r="AK124" s="50" t="str">
        <f>IFERROR(__xludf.DUMMYFUNCTION("""COMPUTED_VALUE"""),"78842440001317")</f>
        <v>78842440001317</v>
      </c>
    </row>
    <row r="125" ht="15.75" customHeight="1">
      <c r="A125" s="41">
        <v>226.0</v>
      </c>
      <c r="B125" s="41" t="s">
        <v>1316</v>
      </c>
      <c r="C125" s="41" t="s">
        <v>2081</v>
      </c>
      <c r="D125" s="41" t="s">
        <v>1320</v>
      </c>
      <c r="E125" s="41" t="s">
        <v>252</v>
      </c>
      <c r="F125" s="41" t="s">
        <v>2085</v>
      </c>
      <c r="G125" s="41" t="s">
        <v>233</v>
      </c>
      <c r="H125" s="42" t="s">
        <v>2128</v>
      </c>
      <c r="I125" s="42">
        <v>281.0</v>
      </c>
      <c r="J125" s="42" t="s">
        <v>1318</v>
      </c>
      <c r="K125" s="42" t="s">
        <v>1319</v>
      </c>
      <c r="L125" s="42" t="s">
        <v>1205</v>
      </c>
      <c r="M125" s="42" t="s">
        <v>240</v>
      </c>
      <c r="N125" s="42" t="s">
        <v>2382</v>
      </c>
      <c r="O125" s="42" t="s">
        <v>351</v>
      </c>
      <c r="P125" s="42" t="s">
        <v>575</v>
      </c>
      <c r="Q125" s="43" t="s">
        <v>2383</v>
      </c>
      <c r="R125" s="43" t="s">
        <v>2384</v>
      </c>
      <c r="S125" s="43" t="s">
        <v>1323</v>
      </c>
      <c r="T125" s="43" t="s">
        <v>1324</v>
      </c>
      <c r="U125" s="45">
        <v>0.4166666666666667</v>
      </c>
      <c r="V125" s="45">
        <v>0.9166666666666666</v>
      </c>
      <c r="W125" s="46"/>
      <c r="X125" s="46"/>
      <c r="Y125" s="46"/>
      <c r="Z125" s="46"/>
      <c r="AA125" s="46"/>
      <c r="AB125" s="46"/>
      <c r="AC125" s="46"/>
      <c r="AD125" s="47"/>
      <c r="AE125" s="47"/>
      <c r="AF125" s="47"/>
      <c r="AG125" s="48" t="s">
        <v>342</v>
      </c>
      <c r="AH125" s="47"/>
      <c r="AI125" s="49"/>
      <c r="AJ125" s="49" t="s">
        <v>357</v>
      </c>
      <c r="AK125" s="50" t="str">
        <f>IFERROR(__xludf.DUMMYFUNCTION("""COMPUTED_VALUE"""),"78842440001821")</f>
        <v>78842440001821</v>
      </c>
    </row>
    <row r="126" ht="15.75" customHeight="1">
      <c r="A126" s="51">
        <v>227.0</v>
      </c>
      <c r="B126" s="51" t="s">
        <v>1325</v>
      </c>
      <c r="C126" s="51" t="s">
        <v>2081</v>
      </c>
      <c r="D126" s="51" t="s">
        <v>1330</v>
      </c>
      <c r="E126" s="51" t="s">
        <v>252</v>
      </c>
      <c r="F126" s="51" t="s">
        <v>2085</v>
      </c>
      <c r="G126" s="51" t="s">
        <v>233</v>
      </c>
      <c r="H126" s="51" t="s">
        <v>2129</v>
      </c>
      <c r="I126" s="51">
        <v>25.0</v>
      </c>
      <c r="J126" s="51" t="s">
        <v>1328</v>
      </c>
      <c r="K126" s="51" t="s">
        <v>39</v>
      </c>
      <c r="L126" s="51" t="s">
        <v>1329</v>
      </c>
      <c r="M126" s="51" t="s">
        <v>240</v>
      </c>
      <c r="N126" s="51" t="s">
        <v>2392</v>
      </c>
      <c r="O126" s="51" t="s">
        <v>351</v>
      </c>
      <c r="P126" s="51" t="s">
        <v>575</v>
      </c>
      <c r="Q126" s="51" t="s">
        <v>2393</v>
      </c>
      <c r="R126" s="51" t="s">
        <v>2393</v>
      </c>
      <c r="S126" s="51" t="s">
        <v>1333</v>
      </c>
      <c r="T126" s="51" t="s">
        <v>1334</v>
      </c>
      <c r="U126" s="52">
        <v>0.375</v>
      </c>
      <c r="V126" s="52">
        <v>0.7916666666666666</v>
      </c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3" t="s">
        <v>427</v>
      </c>
      <c r="AH126" s="51"/>
      <c r="AI126" s="51"/>
      <c r="AJ126" s="51" t="s">
        <v>357</v>
      </c>
      <c r="AK126" s="50" t="str">
        <f>IFERROR(__xludf.DUMMYFUNCTION("""COMPUTED_VALUE"""),"78842440002208")</f>
        <v>78842440002208</v>
      </c>
    </row>
    <row r="127" ht="15.75" customHeight="1">
      <c r="A127" s="41">
        <v>228.0</v>
      </c>
      <c r="B127" s="41" t="s">
        <v>1335</v>
      </c>
      <c r="C127" s="41" t="s">
        <v>2081</v>
      </c>
      <c r="D127" s="41" t="s">
        <v>1339</v>
      </c>
      <c r="E127" s="41" t="s">
        <v>252</v>
      </c>
      <c r="F127" s="41" t="s">
        <v>2085</v>
      </c>
      <c r="G127" s="41" t="s">
        <v>233</v>
      </c>
      <c r="H127" s="42" t="s">
        <v>2133</v>
      </c>
      <c r="I127" s="42">
        <v>1170.0</v>
      </c>
      <c r="J127" s="42" t="s">
        <v>1337</v>
      </c>
      <c r="K127" s="42" t="s">
        <v>1338</v>
      </c>
      <c r="L127" s="42" t="s">
        <v>1205</v>
      </c>
      <c r="M127" s="42" t="s">
        <v>240</v>
      </c>
      <c r="N127" s="42" t="s">
        <v>2399</v>
      </c>
      <c r="O127" s="42" t="s">
        <v>351</v>
      </c>
      <c r="P127" s="42" t="s">
        <v>575</v>
      </c>
      <c r="Q127" s="43" t="s">
        <v>2400</v>
      </c>
      <c r="R127" s="43" t="s">
        <v>2401</v>
      </c>
      <c r="S127" s="43" t="s">
        <v>1342</v>
      </c>
      <c r="T127" s="43" t="s">
        <v>1343</v>
      </c>
      <c r="U127" s="45">
        <v>0.375</v>
      </c>
      <c r="V127" s="45">
        <v>0.7916666666666666</v>
      </c>
      <c r="W127" s="46"/>
      <c r="X127" s="46"/>
      <c r="Y127" s="46"/>
      <c r="Z127" s="46"/>
      <c r="AA127" s="46"/>
      <c r="AB127" s="46"/>
      <c r="AC127" s="46"/>
      <c r="AD127" s="47"/>
      <c r="AE127" s="47"/>
      <c r="AF127" s="47"/>
      <c r="AG127" s="48" t="s">
        <v>342</v>
      </c>
      <c r="AH127" s="47"/>
      <c r="AI127" s="49"/>
      <c r="AJ127" s="49" t="s">
        <v>357</v>
      </c>
      <c r="AK127" s="50" t="str">
        <f>IFERROR(__xludf.DUMMYFUNCTION("""COMPUTED_VALUE"""),"78842440001902")</f>
        <v>78842440001902</v>
      </c>
    </row>
    <row r="128" ht="15.75" customHeight="1">
      <c r="A128" s="51">
        <v>229.0</v>
      </c>
      <c r="B128" s="51" t="s">
        <v>2134</v>
      </c>
      <c r="C128" s="51" t="s">
        <v>2081</v>
      </c>
      <c r="D128" s="51" t="s">
        <v>1349</v>
      </c>
      <c r="E128" s="51" t="s">
        <v>857</v>
      </c>
      <c r="F128" s="51" t="s">
        <v>2085</v>
      </c>
      <c r="G128" s="51" t="s">
        <v>233</v>
      </c>
      <c r="H128" s="51" t="s">
        <v>1346</v>
      </c>
      <c r="I128" s="51">
        <v>5640.0</v>
      </c>
      <c r="J128" s="51" t="s">
        <v>1346</v>
      </c>
      <c r="K128" s="51" t="s">
        <v>2097</v>
      </c>
      <c r="L128" s="51" t="s">
        <v>2135</v>
      </c>
      <c r="M128" s="51" t="s">
        <v>240</v>
      </c>
      <c r="N128" s="51" t="s">
        <v>1345</v>
      </c>
      <c r="O128" s="51" t="s">
        <v>351</v>
      </c>
      <c r="P128" s="51" t="s">
        <v>575</v>
      </c>
      <c r="Q128" s="51" t="s">
        <v>2413</v>
      </c>
      <c r="R128" s="51" t="s">
        <v>2413</v>
      </c>
      <c r="S128" s="51" t="s">
        <v>2137</v>
      </c>
      <c r="T128" s="51" t="s">
        <v>1353</v>
      </c>
      <c r="U128" s="52">
        <v>0.4166666666666667</v>
      </c>
      <c r="V128" s="52">
        <v>0.8333333333333334</v>
      </c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3" t="s">
        <v>342</v>
      </c>
      <c r="AH128" s="51"/>
      <c r="AI128" s="51"/>
      <c r="AJ128" s="51" t="s">
        <v>357</v>
      </c>
      <c r="AK128" s="50" t="str">
        <f>IFERROR(__xludf.DUMMYFUNCTION("""COMPUTED_VALUE"""),"78842440002127")</f>
        <v>78842440002127</v>
      </c>
    </row>
    <row r="129" ht="15.75" customHeight="1">
      <c r="A129" s="41">
        <v>296.0</v>
      </c>
      <c r="B129" s="41" t="s">
        <v>2139</v>
      </c>
      <c r="C129" s="41" t="s">
        <v>2081</v>
      </c>
      <c r="D129" s="41" t="s">
        <v>2419</v>
      </c>
      <c r="E129" s="41" t="s">
        <v>252</v>
      </c>
      <c r="F129" s="41" t="s">
        <v>2085</v>
      </c>
      <c r="G129" s="41" t="s">
        <v>233</v>
      </c>
      <c r="H129" s="42" t="s">
        <v>2143</v>
      </c>
      <c r="I129" s="42">
        <v>1771.0</v>
      </c>
      <c r="J129" s="42"/>
      <c r="K129" s="42" t="s">
        <v>2142</v>
      </c>
      <c r="L129" s="42" t="s">
        <v>2141</v>
      </c>
      <c r="M129" s="42" t="s">
        <v>226</v>
      </c>
      <c r="N129" s="42" t="s">
        <v>2423</v>
      </c>
      <c r="O129" s="42"/>
      <c r="P129" s="42"/>
      <c r="Q129" s="43"/>
      <c r="R129" s="43"/>
      <c r="S129" s="43"/>
      <c r="T129" s="43"/>
      <c r="U129" s="45"/>
      <c r="V129" s="45"/>
      <c r="W129" s="46"/>
      <c r="X129" s="46"/>
      <c r="Y129" s="46"/>
      <c r="Z129" s="46"/>
      <c r="AA129" s="46"/>
      <c r="AB129" s="46"/>
      <c r="AC129" s="46"/>
      <c r="AD129" s="47"/>
      <c r="AE129" s="47"/>
      <c r="AF129" s="47"/>
      <c r="AG129" s="48" t="s">
        <v>342</v>
      </c>
      <c r="AH129" s="47"/>
      <c r="AI129" s="49"/>
      <c r="AJ129" s="49"/>
      <c r="AK129" s="50" t="str">
        <f>IFERROR(__xludf.DUMMYFUNCTION("""COMPUTED_VALUE"""),"78842440002470")</f>
        <v>78842440002470</v>
      </c>
    </row>
    <row r="130" ht="15.75" customHeight="1">
      <c r="A130" s="51">
        <v>297.0</v>
      </c>
      <c r="B130" s="51" t="s">
        <v>2144</v>
      </c>
      <c r="C130" s="51" t="s">
        <v>2081</v>
      </c>
      <c r="D130" s="51" t="s">
        <v>2429</v>
      </c>
      <c r="E130" s="51" t="s">
        <v>252</v>
      </c>
      <c r="F130" s="51" t="s">
        <v>2085</v>
      </c>
      <c r="G130" s="51" t="s">
        <v>233</v>
      </c>
      <c r="H130" s="51" t="s">
        <v>2091</v>
      </c>
      <c r="I130" s="51">
        <v>350.0</v>
      </c>
      <c r="J130" s="51"/>
      <c r="K130" s="51" t="s">
        <v>2090</v>
      </c>
      <c r="L130" s="51" t="s">
        <v>1205</v>
      </c>
      <c r="M130" s="51" t="s">
        <v>240</v>
      </c>
      <c r="N130" s="51" t="s">
        <v>2276</v>
      </c>
      <c r="O130" s="51"/>
      <c r="P130" s="51"/>
      <c r="Q130" s="51"/>
      <c r="R130" s="51"/>
      <c r="S130" s="51"/>
      <c r="T130" s="51"/>
      <c r="U130" s="52"/>
      <c r="V130" s="52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3" t="s">
        <v>342</v>
      </c>
      <c r="AH130" s="51"/>
      <c r="AI130" s="51"/>
      <c r="AJ130" s="51"/>
      <c r="AK130" s="50" t="str">
        <f>IFERROR(__xludf.DUMMYFUNCTION("""COMPUTED_VALUE"""),"78842440000850")</f>
        <v>78842440000850</v>
      </c>
    </row>
    <row r="131" ht="15.75" customHeight="1">
      <c r="A131" s="41">
        <v>298.0</v>
      </c>
      <c r="B131" s="41" t="s">
        <v>2146</v>
      </c>
      <c r="C131" s="41" t="s">
        <v>2081</v>
      </c>
      <c r="D131" s="41" t="s">
        <v>2436</v>
      </c>
      <c r="E131" s="41" t="s">
        <v>252</v>
      </c>
      <c r="F131" s="41" t="s">
        <v>1880</v>
      </c>
      <c r="G131" s="41" t="s">
        <v>233</v>
      </c>
      <c r="H131" s="42" t="s">
        <v>2091</v>
      </c>
      <c r="I131" s="42">
        <v>350.0</v>
      </c>
      <c r="J131" s="42"/>
      <c r="K131" s="42" t="s">
        <v>2090</v>
      </c>
      <c r="L131" s="42" t="s">
        <v>1205</v>
      </c>
      <c r="M131" s="42" t="s">
        <v>240</v>
      </c>
      <c r="N131" s="42" t="s">
        <v>2276</v>
      </c>
      <c r="O131" s="42"/>
      <c r="P131" s="42"/>
      <c r="Q131" s="43"/>
      <c r="R131" s="43"/>
      <c r="S131" s="43"/>
      <c r="T131" s="43"/>
      <c r="U131" s="45"/>
      <c r="V131" s="45"/>
      <c r="W131" s="46"/>
      <c r="X131" s="46"/>
      <c r="Y131" s="46"/>
      <c r="Z131" s="46"/>
      <c r="AA131" s="46"/>
      <c r="AB131" s="46"/>
      <c r="AC131" s="46"/>
      <c r="AD131" s="47"/>
      <c r="AE131" s="47"/>
      <c r="AF131" s="47"/>
      <c r="AG131" s="48" t="s">
        <v>342</v>
      </c>
      <c r="AH131" s="47"/>
      <c r="AI131" s="49"/>
      <c r="AJ131" s="49"/>
      <c r="AK131" s="50" t="str">
        <f>IFERROR(__xludf.DUMMYFUNCTION("""COMPUTED_VALUE"""),"61014746000149")</f>
        <v>61014746000149</v>
      </c>
    </row>
    <row r="132" ht="15.75" customHeight="1">
      <c r="A132" s="51">
        <v>299.0</v>
      </c>
      <c r="B132" s="51" t="s">
        <v>2149</v>
      </c>
      <c r="C132" s="51" t="s">
        <v>2149</v>
      </c>
      <c r="D132" s="51" t="s">
        <v>2444</v>
      </c>
      <c r="E132" s="51" t="s">
        <v>252</v>
      </c>
      <c r="F132" s="51" t="s">
        <v>1880</v>
      </c>
      <c r="G132" s="51" t="s">
        <v>124</v>
      </c>
      <c r="H132" s="51" t="s">
        <v>2151</v>
      </c>
      <c r="I132" s="51">
        <v>1.0</v>
      </c>
      <c r="J132" s="51"/>
      <c r="K132" s="51" t="s">
        <v>2150</v>
      </c>
      <c r="L132" s="51" t="s">
        <v>271</v>
      </c>
      <c r="M132" s="51" t="s">
        <v>41</v>
      </c>
      <c r="N132" s="51" t="s">
        <v>2448</v>
      </c>
      <c r="O132" s="51"/>
      <c r="P132" s="51"/>
      <c r="Q132" s="51"/>
      <c r="R132" s="51"/>
      <c r="S132" s="51"/>
      <c r="T132" s="51"/>
      <c r="U132" s="52"/>
      <c r="V132" s="52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3" t="s">
        <v>342</v>
      </c>
      <c r="AH132" s="51"/>
      <c r="AI132" s="51"/>
      <c r="AJ132" s="51"/>
      <c r="AK132" s="50" t="str">
        <f>IFERROR(__xludf.DUMMYFUNCTION("""COMPUTED_VALUE"""),"33840486000125")</f>
        <v>33840486000125</v>
      </c>
    </row>
    <row r="133" ht="15.75" customHeight="1">
      <c r="A133" s="41">
        <v>300.0</v>
      </c>
      <c r="B133" s="41" t="s">
        <v>2154</v>
      </c>
      <c r="C133" s="41" t="s">
        <v>2152</v>
      </c>
      <c r="D133" s="41" t="s">
        <v>2455</v>
      </c>
      <c r="E133" s="41" t="s">
        <v>252</v>
      </c>
      <c r="F133" s="41" t="s">
        <v>2158</v>
      </c>
      <c r="G133" s="41" t="s">
        <v>249</v>
      </c>
      <c r="H133" s="42" t="s">
        <v>2157</v>
      </c>
      <c r="I133" s="42">
        <v>1342.0</v>
      </c>
      <c r="J133" s="42"/>
      <c r="K133" s="42" t="s">
        <v>2156</v>
      </c>
      <c r="L133" s="42" t="s">
        <v>2155</v>
      </c>
      <c r="M133" s="42" t="s">
        <v>226</v>
      </c>
      <c r="N133" s="42" t="s">
        <v>2460</v>
      </c>
      <c r="O133" s="42" t="s">
        <v>460</v>
      </c>
      <c r="P133" s="42" t="s">
        <v>575</v>
      </c>
      <c r="Q133" s="43"/>
      <c r="R133" s="43"/>
      <c r="S133" s="43"/>
      <c r="T133" s="43"/>
      <c r="U133" s="45"/>
      <c r="V133" s="45"/>
      <c r="W133" s="46"/>
      <c r="X133" s="46"/>
      <c r="Y133" s="46"/>
      <c r="Z133" s="46"/>
      <c r="AA133" s="46"/>
      <c r="AB133" s="46"/>
      <c r="AC133" s="46"/>
      <c r="AD133" s="47"/>
      <c r="AE133" s="47"/>
      <c r="AF133" s="47"/>
      <c r="AG133" s="48" t="s">
        <v>342</v>
      </c>
      <c r="AH133" s="47"/>
      <c r="AI133" s="49"/>
      <c r="AJ133" s="49"/>
      <c r="AK133" s="50" t="str">
        <f>IFERROR(__xludf.DUMMYFUNCTION("""COMPUTED_VALUE"""),"49961545000153")</f>
        <v>49961545000153</v>
      </c>
    </row>
    <row r="134" ht="15.75" customHeight="1">
      <c r="A134" s="51">
        <v>301.0</v>
      </c>
      <c r="B134" s="51" t="s">
        <v>2162</v>
      </c>
      <c r="C134" s="51" t="s">
        <v>2152</v>
      </c>
      <c r="D134" s="51" t="s">
        <v>2465</v>
      </c>
      <c r="E134" s="51" t="s">
        <v>857</v>
      </c>
      <c r="F134" s="51" t="s">
        <v>2158</v>
      </c>
      <c r="G134" s="51" t="s">
        <v>249</v>
      </c>
      <c r="H134" s="51" t="s">
        <v>2143</v>
      </c>
      <c r="I134" s="51">
        <v>1771.0</v>
      </c>
      <c r="J134" s="51"/>
      <c r="K134" s="51" t="s">
        <v>2142</v>
      </c>
      <c r="L134" s="51" t="s">
        <v>2141</v>
      </c>
      <c r="M134" s="51" t="s">
        <v>226</v>
      </c>
      <c r="N134" s="51" t="s">
        <v>2423</v>
      </c>
      <c r="O134" s="51" t="s">
        <v>400</v>
      </c>
      <c r="P134" s="51" t="s">
        <v>575</v>
      </c>
      <c r="Q134" s="51"/>
      <c r="R134" s="51"/>
      <c r="S134" s="51"/>
      <c r="T134" s="51"/>
      <c r="U134" s="52"/>
      <c r="V134" s="52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3" t="s">
        <v>342</v>
      </c>
      <c r="AH134" s="51"/>
      <c r="AI134" s="51"/>
      <c r="AJ134" s="51"/>
      <c r="AK134" s="50" t="str">
        <f>IFERROR(__xludf.DUMMYFUNCTION("""COMPUTED_VALUE"""),"49961545005546")</f>
        <v>49961545005546</v>
      </c>
    </row>
    <row r="135" ht="15.75" customHeight="1">
      <c r="A135" s="41">
        <v>302.0</v>
      </c>
      <c r="B135" s="41" t="s">
        <v>2163</v>
      </c>
      <c r="C135" s="41" t="s">
        <v>2152</v>
      </c>
      <c r="D135" s="41" t="s">
        <v>1361</v>
      </c>
      <c r="E135" s="41" t="s">
        <v>252</v>
      </c>
      <c r="F135" s="41" t="s">
        <v>2158</v>
      </c>
      <c r="G135" s="41" t="s">
        <v>249</v>
      </c>
      <c r="H135" s="42" t="s">
        <v>2165</v>
      </c>
      <c r="I135" s="42">
        <v>316.0</v>
      </c>
      <c r="J135" s="42" t="s">
        <v>1357</v>
      </c>
      <c r="K135" s="42" t="s">
        <v>2156</v>
      </c>
      <c r="L135" s="42" t="s">
        <v>2155</v>
      </c>
      <c r="M135" s="42" t="s">
        <v>226</v>
      </c>
      <c r="N135" s="42" t="s">
        <v>2474</v>
      </c>
      <c r="O135" s="42" t="s">
        <v>375</v>
      </c>
      <c r="P135" s="42" t="s">
        <v>575</v>
      </c>
      <c r="Q135" s="43" t="s">
        <v>2475</v>
      </c>
      <c r="R135" s="43" t="s">
        <v>2476</v>
      </c>
      <c r="S135" s="43" t="s">
        <v>1366</v>
      </c>
      <c r="T135" s="43" t="s">
        <v>1367</v>
      </c>
      <c r="U135" s="45">
        <v>0.375</v>
      </c>
      <c r="V135" s="45">
        <v>0.7916666666666666</v>
      </c>
      <c r="W135" s="46"/>
      <c r="X135" s="46"/>
      <c r="Y135" s="46"/>
      <c r="Z135" s="46"/>
      <c r="AA135" s="46"/>
      <c r="AB135" s="46"/>
      <c r="AC135" s="46"/>
      <c r="AD135" s="47"/>
      <c r="AE135" s="47"/>
      <c r="AF135" s="47"/>
      <c r="AG135" s="48" t="s">
        <v>427</v>
      </c>
      <c r="AH135" s="47"/>
      <c r="AI135" s="49"/>
      <c r="AJ135" s="49" t="s">
        <v>357</v>
      </c>
      <c r="AK135" s="50" t="str">
        <f>IFERROR(__xludf.DUMMYFUNCTION("""COMPUTED_VALUE"""),"49961545003330")</f>
        <v>49961545003330</v>
      </c>
    </row>
    <row r="136" ht="15.75" customHeight="1">
      <c r="A136" s="51">
        <v>303.0</v>
      </c>
      <c r="B136" s="51" t="s">
        <v>2166</v>
      </c>
      <c r="C136" s="51" t="s">
        <v>2152</v>
      </c>
      <c r="D136" s="51" t="s">
        <v>2482</v>
      </c>
      <c r="E136" s="51" t="s">
        <v>857</v>
      </c>
      <c r="F136" s="51" t="s">
        <v>2158</v>
      </c>
      <c r="G136" s="51" t="s">
        <v>249</v>
      </c>
      <c r="H136" s="51" t="s">
        <v>2170</v>
      </c>
      <c r="I136" s="51">
        <v>2601.0</v>
      </c>
      <c r="J136" s="51"/>
      <c r="K136" s="51" t="s">
        <v>2169</v>
      </c>
      <c r="L136" s="51" t="s">
        <v>1534</v>
      </c>
      <c r="M136" s="51" t="s">
        <v>226</v>
      </c>
      <c r="N136" s="51" t="s">
        <v>2485</v>
      </c>
      <c r="O136" s="51" t="s">
        <v>400</v>
      </c>
      <c r="P136" s="51" t="s">
        <v>575</v>
      </c>
      <c r="Q136" s="51"/>
      <c r="R136" s="51"/>
      <c r="S136" s="51"/>
      <c r="T136" s="51"/>
      <c r="U136" s="52"/>
      <c r="V136" s="52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3" t="s">
        <v>342</v>
      </c>
      <c r="AH136" s="51"/>
      <c r="AI136" s="51"/>
      <c r="AJ136" s="51"/>
      <c r="AK136" s="50" t="str">
        <f>IFERROR(__xludf.DUMMYFUNCTION("""COMPUTED_VALUE"""),"48642855000142")</f>
        <v>48642855000142</v>
      </c>
    </row>
    <row r="137" ht="15.75" customHeight="1">
      <c r="A137" s="41">
        <v>306.0</v>
      </c>
      <c r="B137" s="41" t="s">
        <v>2171</v>
      </c>
      <c r="C137" s="41" t="s">
        <v>2152</v>
      </c>
      <c r="D137" s="41" t="s">
        <v>1375</v>
      </c>
      <c r="E137" s="41" t="s">
        <v>252</v>
      </c>
      <c r="F137" s="41" t="s">
        <v>2158</v>
      </c>
      <c r="G137" s="41" t="s">
        <v>249</v>
      </c>
      <c r="H137" s="42" t="s">
        <v>2172</v>
      </c>
      <c r="I137" s="42">
        <v>4545.0</v>
      </c>
      <c r="J137" s="42" t="s">
        <v>1370</v>
      </c>
      <c r="K137" s="42" t="s">
        <v>1533</v>
      </c>
      <c r="L137" s="42" t="s">
        <v>1534</v>
      </c>
      <c r="M137" s="42" t="s">
        <v>226</v>
      </c>
      <c r="N137" s="42" t="s">
        <v>2491</v>
      </c>
      <c r="O137" s="42" t="s">
        <v>375</v>
      </c>
      <c r="P137" s="42" t="s">
        <v>575</v>
      </c>
      <c r="Q137" s="43" t="s">
        <v>2493</v>
      </c>
      <c r="R137" s="43" t="s">
        <v>2495</v>
      </c>
      <c r="S137" s="43" t="s">
        <v>1377</v>
      </c>
      <c r="T137" s="43" t="s">
        <v>1378</v>
      </c>
      <c r="U137" s="45">
        <v>0.4166666666666667</v>
      </c>
      <c r="V137" s="45">
        <v>0.9166666666666666</v>
      </c>
      <c r="W137" s="46"/>
      <c r="X137" s="46"/>
      <c r="Y137" s="46"/>
      <c r="Z137" s="46"/>
      <c r="AA137" s="46"/>
      <c r="AB137" s="46"/>
      <c r="AC137" s="46"/>
      <c r="AD137" s="47"/>
      <c r="AE137" s="47"/>
      <c r="AF137" s="47"/>
      <c r="AG137" s="48" t="s">
        <v>342</v>
      </c>
      <c r="AH137" s="47"/>
      <c r="AI137" s="49"/>
      <c r="AJ137" s="49" t="s">
        <v>357</v>
      </c>
      <c r="AK137" s="50" t="str">
        <f>IFERROR(__xludf.DUMMYFUNCTION("""COMPUTED_VALUE"""),"49961545003683")</f>
        <v>49961545003683</v>
      </c>
    </row>
    <row r="138" ht="15.75" customHeight="1">
      <c r="A138" s="51">
        <v>316.0</v>
      </c>
      <c r="B138" s="51" t="s">
        <v>2173</v>
      </c>
      <c r="C138" s="51" t="s">
        <v>2152</v>
      </c>
      <c r="D138" s="51" t="s">
        <v>2500</v>
      </c>
      <c r="E138" s="51" t="s">
        <v>857</v>
      </c>
      <c r="F138" s="51" t="s">
        <v>2158</v>
      </c>
      <c r="G138" s="51" t="s">
        <v>249</v>
      </c>
      <c r="H138" s="51" t="s">
        <v>2175</v>
      </c>
      <c r="I138" s="51">
        <v>1800.0</v>
      </c>
      <c r="J138" s="51"/>
      <c r="K138" s="51" t="s">
        <v>2174</v>
      </c>
      <c r="L138" s="51" t="s">
        <v>2155</v>
      </c>
      <c r="M138" s="51" t="s">
        <v>226</v>
      </c>
      <c r="N138" s="51" t="s">
        <v>2506</v>
      </c>
      <c r="O138" s="51" t="s">
        <v>400</v>
      </c>
      <c r="P138" s="51" t="s">
        <v>575</v>
      </c>
      <c r="Q138" s="51"/>
      <c r="R138" s="51"/>
      <c r="S138" s="51"/>
      <c r="T138" s="51"/>
      <c r="U138" s="52"/>
      <c r="V138" s="52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3" t="s">
        <v>342</v>
      </c>
      <c r="AH138" s="51"/>
      <c r="AI138" s="51"/>
      <c r="AJ138" s="51"/>
      <c r="AK138" s="50" t="str">
        <f>IFERROR(__xludf.DUMMYFUNCTION("""COMPUTED_VALUE"""),"49961545003764")</f>
        <v>49961545003764</v>
      </c>
    </row>
    <row r="139" ht="15.75" customHeight="1">
      <c r="A139" s="41">
        <v>317.0</v>
      </c>
      <c r="B139" s="41" t="s">
        <v>2177</v>
      </c>
      <c r="C139" s="41" t="s">
        <v>2152</v>
      </c>
      <c r="D139" s="41" t="s">
        <v>1386</v>
      </c>
      <c r="E139" s="41" t="s">
        <v>252</v>
      </c>
      <c r="F139" s="41" t="s">
        <v>2158</v>
      </c>
      <c r="G139" s="41" t="s">
        <v>249</v>
      </c>
      <c r="H139" s="42" t="s">
        <v>2179</v>
      </c>
      <c r="I139" s="42">
        <v>28.0</v>
      </c>
      <c r="J139" s="42" t="s">
        <v>1383</v>
      </c>
      <c r="K139" s="42" t="s">
        <v>2178</v>
      </c>
      <c r="L139" s="42" t="s">
        <v>2155</v>
      </c>
      <c r="M139" s="42" t="s">
        <v>226</v>
      </c>
      <c r="N139" s="42" t="s">
        <v>2510</v>
      </c>
      <c r="O139" s="42" t="s">
        <v>375</v>
      </c>
      <c r="P139" s="42" t="s">
        <v>575</v>
      </c>
      <c r="Q139" s="43" t="s">
        <v>2512</v>
      </c>
      <c r="R139" s="43" t="s">
        <v>2513</v>
      </c>
      <c r="S139" s="43" t="s">
        <v>1388</v>
      </c>
      <c r="T139" s="43" t="s">
        <v>1390</v>
      </c>
      <c r="U139" s="45">
        <v>0.375</v>
      </c>
      <c r="V139" s="45">
        <v>0.7916666666666666</v>
      </c>
      <c r="W139" s="46"/>
      <c r="X139" s="46"/>
      <c r="Y139" s="46"/>
      <c r="Z139" s="46"/>
      <c r="AA139" s="46"/>
      <c r="AB139" s="46"/>
      <c r="AC139" s="46"/>
      <c r="AD139" s="47"/>
      <c r="AE139" s="47"/>
      <c r="AF139" s="47"/>
      <c r="AG139" s="48" t="s">
        <v>342</v>
      </c>
      <c r="AH139" s="47"/>
      <c r="AI139" s="49"/>
      <c r="AJ139" s="49" t="s">
        <v>357</v>
      </c>
      <c r="AK139" s="50" t="str">
        <f>IFERROR(__xludf.DUMMYFUNCTION("""COMPUTED_VALUE"""),"49961545000668")</f>
        <v>49961545000668</v>
      </c>
    </row>
    <row r="140" ht="15.75" customHeight="1">
      <c r="A140" s="51">
        <v>318.0</v>
      </c>
      <c r="B140" s="51" t="s">
        <v>1393</v>
      </c>
      <c r="C140" s="51" t="s">
        <v>2152</v>
      </c>
      <c r="D140" s="51" t="s">
        <v>1398</v>
      </c>
      <c r="E140" s="51" t="s">
        <v>252</v>
      </c>
      <c r="F140" s="51" t="s">
        <v>2158</v>
      </c>
      <c r="G140" s="51" t="s">
        <v>249</v>
      </c>
      <c r="H140" s="51" t="s">
        <v>2183</v>
      </c>
      <c r="I140" s="51">
        <v>1280.0</v>
      </c>
      <c r="J140" s="51" t="s">
        <v>1395</v>
      </c>
      <c r="K140" s="51" t="s">
        <v>2182</v>
      </c>
      <c r="L140" s="51" t="s">
        <v>2181</v>
      </c>
      <c r="M140" s="51" t="s">
        <v>226</v>
      </c>
      <c r="N140" s="51" t="s">
        <v>2522</v>
      </c>
      <c r="O140" s="51" t="s">
        <v>375</v>
      </c>
      <c r="P140" s="51" t="s">
        <v>575</v>
      </c>
      <c r="Q140" s="51" t="s">
        <v>2525</v>
      </c>
      <c r="R140" s="51" t="s">
        <v>2526</v>
      </c>
      <c r="S140" s="51" t="s">
        <v>1401</v>
      </c>
      <c r="T140" s="51" t="s">
        <v>1402</v>
      </c>
      <c r="U140" s="52">
        <v>0.375</v>
      </c>
      <c r="V140" s="52">
        <v>0.7916666666666666</v>
      </c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3" t="s">
        <v>342</v>
      </c>
      <c r="AH140" s="51"/>
      <c r="AI140" s="51"/>
      <c r="AJ140" s="51" t="s">
        <v>357</v>
      </c>
      <c r="AK140" s="50" t="str">
        <f>IFERROR(__xludf.DUMMYFUNCTION("""COMPUTED_VALUE"""),"49961545002369")</f>
        <v>49961545002369</v>
      </c>
    </row>
    <row r="141" ht="15.75" customHeight="1">
      <c r="A141" s="41">
        <v>319.0</v>
      </c>
      <c r="B141" s="41" t="s">
        <v>1403</v>
      </c>
      <c r="C141" s="41" t="s">
        <v>2152</v>
      </c>
      <c r="D141" s="41" t="s">
        <v>1408</v>
      </c>
      <c r="E141" s="41" t="s">
        <v>252</v>
      </c>
      <c r="F141" s="41" t="s">
        <v>2158</v>
      </c>
      <c r="G141" s="41" t="s">
        <v>249</v>
      </c>
      <c r="H141" s="42" t="s">
        <v>2185</v>
      </c>
      <c r="I141" s="42">
        <v>1422.0</v>
      </c>
      <c r="J141" s="42" t="s">
        <v>1405</v>
      </c>
      <c r="K141" s="42" t="s">
        <v>39</v>
      </c>
      <c r="L141" s="42" t="s">
        <v>2184</v>
      </c>
      <c r="M141" s="42" t="s">
        <v>226</v>
      </c>
      <c r="N141" s="42" t="s">
        <v>2539</v>
      </c>
      <c r="O141" s="42" t="s">
        <v>375</v>
      </c>
      <c r="P141" s="42" t="s">
        <v>575</v>
      </c>
      <c r="Q141" s="43" t="s">
        <v>2540</v>
      </c>
      <c r="R141" s="43" t="s">
        <v>2541</v>
      </c>
      <c r="S141" s="43" t="s">
        <v>1411</v>
      </c>
      <c r="T141" s="43" t="s">
        <v>1412</v>
      </c>
      <c r="U141" s="45">
        <v>0.375</v>
      </c>
      <c r="V141" s="45">
        <v>0.7916666666666666</v>
      </c>
      <c r="W141" s="46"/>
      <c r="X141" s="46"/>
      <c r="Y141" s="46"/>
      <c r="Z141" s="46"/>
      <c r="AA141" s="46"/>
      <c r="AB141" s="46"/>
      <c r="AC141" s="46"/>
      <c r="AD141" s="47"/>
      <c r="AE141" s="47"/>
      <c r="AF141" s="47"/>
      <c r="AG141" s="48" t="s">
        <v>342</v>
      </c>
      <c r="AH141" s="47"/>
      <c r="AI141" s="49"/>
      <c r="AJ141" s="49" t="s">
        <v>357</v>
      </c>
      <c r="AK141" s="50" t="str">
        <f>IFERROR(__xludf.DUMMYFUNCTION("""COMPUTED_VALUE"""),"49961545002601")</f>
        <v>49961545002601</v>
      </c>
    </row>
    <row r="142" ht="15.75" customHeight="1">
      <c r="A142" s="51">
        <v>322.0</v>
      </c>
      <c r="B142" s="51" t="s">
        <v>2187</v>
      </c>
      <c r="C142" s="51" t="s">
        <v>2152</v>
      </c>
      <c r="D142" s="51" t="s">
        <v>2547</v>
      </c>
      <c r="E142" s="51" t="s">
        <v>857</v>
      </c>
      <c r="F142" s="51" t="s">
        <v>2158</v>
      </c>
      <c r="G142" s="51" t="s">
        <v>249</v>
      </c>
      <c r="H142" s="51" t="s">
        <v>2175</v>
      </c>
      <c r="I142" s="51">
        <v>1181.0</v>
      </c>
      <c r="J142" s="51"/>
      <c r="K142" s="51" t="s">
        <v>2174</v>
      </c>
      <c r="L142" s="51" t="s">
        <v>2155</v>
      </c>
      <c r="M142" s="51" t="s">
        <v>226</v>
      </c>
      <c r="N142" s="51" t="s">
        <v>2506</v>
      </c>
      <c r="O142" s="51" t="s">
        <v>400</v>
      </c>
      <c r="P142" s="51" t="s">
        <v>575</v>
      </c>
      <c r="Q142" s="51"/>
      <c r="R142" s="51"/>
      <c r="S142" s="51"/>
      <c r="T142" s="51"/>
      <c r="U142" s="52"/>
      <c r="V142" s="52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3" t="s">
        <v>342</v>
      </c>
      <c r="AH142" s="51"/>
      <c r="AI142" s="51"/>
      <c r="AJ142" s="51"/>
      <c r="AK142" s="50" t="str">
        <f>IFERROR(__xludf.DUMMYFUNCTION("""COMPUTED_VALUE"""),"49961545005465")</f>
        <v>49961545005465</v>
      </c>
    </row>
    <row r="143" ht="15.75" customHeight="1">
      <c r="A143" s="41">
        <v>323.0</v>
      </c>
      <c r="B143" s="41" t="s">
        <v>2189</v>
      </c>
      <c r="C143" s="41" t="s">
        <v>2152</v>
      </c>
      <c r="D143" s="41" t="s">
        <v>1419</v>
      </c>
      <c r="E143" s="41" t="s">
        <v>252</v>
      </c>
      <c r="F143" s="41" t="s">
        <v>2158</v>
      </c>
      <c r="G143" s="41" t="s">
        <v>249</v>
      </c>
      <c r="H143" s="42" t="s">
        <v>2191</v>
      </c>
      <c r="I143" s="42">
        <v>821.0</v>
      </c>
      <c r="J143" s="42" t="s">
        <v>1415</v>
      </c>
      <c r="K143" s="42" t="s">
        <v>39</v>
      </c>
      <c r="L143" s="42" t="s">
        <v>2190</v>
      </c>
      <c r="M143" s="42" t="s">
        <v>226</v>
      </c>
      <c r="N143" s="42" t="s">
        <v>2555</v>
      </c>
      <c r="O143" s="42" t="s">
        <v>375</v>
      </c>
      <c r="P143" s="42" t="s">
        <v>575</v>
      </c>
      <c r="Q143" s="43" t="s">
        <v>2556</v>
      </c>
      <c r="R143" s="43" t="s">
        <v>2557</v>
      </c>
      <c r="S143" s="43" t="s">
        <v>1423</v>
      </c>
      <c r="T143" s="43" t="s">
        <v>1424</v>
      </c>
      <c r="U143" s="45">
        <v>0.375</v>
      </c>
      <c r="V143" s="45">
        <v>0.7916666666666666</v>
      </c>
      <c r="W143" s="46"/>
      <c r="X143" s="46"/>
      <c r="Y143" s="46"/>
      <c r="Z143" s="46"/>
      <c r="AA143" s="46"/>
      <c r="AB143" s="46"/>
      <c r="AC143" s="46"/>
      <c r="AD143" s="47"/>
      <c r="AE143" s="47"/>
      <c r="AF143" s="47"/>
      <c r="AG143" s="48" t="s">
        <v>342</v>
      </c>
      <c r="AH143" s="47"/>
      <c r="AI143" s="49"/>
      <c r="AJ143" s="49" t="s">
        <v>357</v>
      </c>
      <c r="AK143" s="50" t="str">
        <f>IFERROR(__xludf.DUMMYFUNCTION("""COMPUTED_VALUE"""),"49961545002016")</f>
        <v>49961545002016</v>
      </c>
    </row>
    <row r="144" ht="15.75" customHeight="1">
      <c r="A144" s="51">
        <v>326.0</v>
      </c>
      <c r="B144" s="51" t="s">
        <v>2192</v>
      </c>
      <c r="C144" s="51" t="s">
        <v>2152</v>
      </c>
      <c r="D144" s="51" t="s">
        <v>1431</v>
      </c>
      <c r="E144" s="51" t="s">
        <v>252</v>
      </c>
      <c r="F144" s="51" t="s">
        <v>2158</v>
      </c>
      <c r="G144" s="51" t="s">
        <v>249</v>
      </c>
      <c r="H144" s="51" t="s">
        <v>2195</v>
      </c>
      <c r="I144" s="51">
        <v>1181.0</v>
      </c>
      <c r="J144" s="51" t="s">
        <v>1427</v>
      </c>
      <c r="K144" s="51" t="s">
        <v>2193</v>
      </c>
      <c r="L144" s="51" t="s">
        <v>2155</v>
      </c>
      <c r="M144" s="51" t="s">
        <v>226</v>
      </c>
      <c r="N144" s="51" t="s">
        <v>2565</v>
      </c>
      <c r="O144" s="51" t="s">
        <v>375</v>
      </c>
      <c r="P144" s="51" t="s">
        <v>575</v>
      </c>
      <c r="Q144" s="51" t="s">
        <v>2568</v>
      </c>
      <c r="R144" s="51" t="s">
        <v>2569</v>
      </c>
      <c r="S144" s="51" t="s">
        <v>1433</v>
      </c>
      <c r="T144" s="51" t="s">
        <v>1434</v>
      </c>
      <c r="U144" s="52">
        <v>0.4166666666666667</v>
      </c>
      <c r="V144" s="52">
        <v>0.9166666666666666</v>
      </c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3" t="s">
        <v>342</v>
      </c>
      <c r="AH144" s="51"/>
      <c r="AI144" s="51"/>
      <c r="AJ144" s="51" t="s">
        <v>357</v>
      </c>
      <c r="AK144" s="50" t="str">
        <f>IFERROR(__xludf.DUMMYFUNCTION("""COMPUTED_VALUE"""),"49961545002954")</f>
        <v>49961545002954</v>
      </c>
    </row>
    <row r="145" ht="15.75" customHeight="1">
      <c r="A145" s="41">
        <v>327.0</v>
      </c>
      <c r="B145" s="41" t="s">
        <v>2196</v>
      </c>
      <c r="C145" s="41" t="s">
        <v>2152</v>
      </c>
      <c r="D145" s="41" t="s">
        <v>1440</v>
      </c>
      <c r="E145" s="41" t="s">
        <v>252</v>
      </c>
      <c r="F145" s="41" t="s">
        <v>2158</v>
      </c>
      <c r="G145" s="41" t="s">
        <v>249</v>
      </c>
      <c r="H145" s="42" t="s">
        <v>2198</v>
      </c>
      <c r="I145" s="42">
        <v>3522.0</v>
      </c>
      <c r="J145" s="42" t="s">
        <v>1437</v>
      </c>
      <c r="K145" s="42" t="s">
        <v>2197</v>
      </c>
      <c r="L145" s="42" t="s">
        <v>2155</v>
      </c>
      <c r="M145" s="42" t="s">
        <v>226</v>
      </c>
      <c r="N145" s="42" t="s">
        <v>2583</v>
      </c>
      <c r="O145" s="42" t="s">
        <v>375</v>
      </c>
      <c r="P145" s="42" t="s">
        <v>575</v>
      </c>
      <c r="Q145" s="43" t="s">
        <v>2585</v>
      </c>
      <c r="R145" s="43" t="s">
        <v>2586</v>
      </c>
      <c r="S145" s="43" t="s">
        <v>1443</v>
      </c>
      <c r="T145" s="43" t="s">
        <v>1444</v>
      </c>
      <c r="U145" s="45">
        <v>0.4166666666666667</v>
      </c>
      <c r="V145" s="45">
        <v>0.9166666666666666</v>
      </c>
      <c r="W145" s="46"/>
      <c r="X145" s="46"/>
      <c r="Y145" s="46"/>
      <c r="Z145" s="46"/>
      <c r="AA145" s="46"/>
      <c r="AB145" s="46"/>
      <c r="AC145" s="46"/>
      <c r="AD145" s="47"/>
      <c r="AE145" s="47"/>
      <c r="AF145" s="47"/>
      <c r="AG145" s="48" t="s">
        <v>342</v>
      </c>
      <c r="AH145" s="47"/>
      <c r="AI145" s="49"/>
      <c r="AJ145" s="49" t="s">
        <v>357</v>
      </c>
      <c r="AK145" s="50" t="str">
        <f>IFERROR(__xludf.DUMMYFUNCTION("""COMPUTED_VALUE"""),"49961545001206")</f>
        <v>49961545001206</v>
      </c>
    </row>
    <row r="146" ht="15.75" customHeight="1">
      <c r="A146" s="51">
        <v>329.0</v>
      </c>
      <c r="B146" s="51" t="s">
        <v>2200</v>
      </c>
      <c r="C146" s="51" t="s">
        <v>2152</v>
      </c>
      <c r="D146" s="51" t="s">
        <v>2595</v>
      </c>
      <c r="E146" s="51" t="s">
        <v>857</v>
      </c>
      <c r="F146" s="51" t="s">
        <v>2158</v>
      </c>
      <c r="G146" s="51" t="s">
        <v>249</v>
      </c>
      <c r="H146" s="51" t="s">
        <v>2172</v>
      </c>
      <c r="I146" s="51">
        <v>4545.0</v>
      </c>
      <c r="J146" s="51"/>
      <c r="K146" s="51" t="s">
        <v>1533</v>
      </c>
      <c r="L146" s="51" t="s">
        <v>1534</v>
      </c>
      <c r="M146" s="51" t="s">
        <v>226</v>
      </c>
      <c r="N146" s="51" t="s">
        <v>2491</v>
      </c>
      <c r="O146" s="51" t="s">
        <v>400</v>
      </c>
      <c r="P146" s="51" t="s">
        <v>575</v>
      </c>
      <c r="Q146" s="51"/>
      <c r="R146" s="51"/>
      <c r="S146" s="51"/>
      <c r="T146" s="51"/>
      <c r="U146" s="52"/>
      <c r="V146" s="52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3" t="s">
        <v>342</v>
      </c>
      <c r="AH146" s="51"/>
      <c r="AI146" s="51"/>
      <c r="AJ146" s="51"/>
      <c r="AK146" s="50" t="str">
        <f>IFERROR(__xludf.DUMMYFUNCTION("""COMPUTED_VALUE"""),"86356140000112")</f>
        <v>86356140000112</v>
      </c>
    </row>
    <row r="147" ht="15.75" customHeight="1">
      <c r="A147" s="41">
        <v>333.0</v>
      </c>
      <c r="B147" s="41" t="s">
        <v>1445</v>
      </c>
      <c r="C147" s="41" t="s">
        <v>2152</v>
      </c>
      <c r="D147" s="41" t="s">
        <v>1449</v>
      </c>
      <c r="E147" s="41" t="s">
        <v>252</v>
      </c>
      <c r="F147" s="41" t="s">
        <v>2158</v>
      </c>
      <c r="G147" s="41" t="s">
        <v>249</v>
      </c>
      <c r="H147" s="42" t="s">
        <v>2157</v>
      </c>
      <c r="I147" s="42">
        <v>1370.0</v>
      </c>
      <c r="J147" s="42" t="s">
        <v>1447</v>
      </c>
      <c r="K147" s="42" t="s">
        <v>2156</v>
      </c>
      <c r="L147" s="42" t="s">
        <v>2155</v>
      </c>
      <c r="M147" s="42" t="s">
        <v>226</v>
      </c>
      <c r="N147" s="42" t="s">
        <v>2460</v>
      </c>
      <c r="O147" s="42" t="s">
        <v>375</v>
      </c>
      <c r="P147" s="42" t="s">
        <v>575</v>
      </c>
      <c r="Q147" s="43" t="s">
        <v>2606</v>
      </c>
      <c r="R147" s="43" t="s">
        <v>2607</v>
      </c>
      <c r="S147" s="43" t="s">
        <v>1451</v>
      </c>
      <c r="T147" s="43" t="s">
        <v>1452</v>
      </c>
      <c r="U147" s="45">
        <v>0.375</v>
      </c>
      <c r="V147" s="45">
        <v>0.7916666666666666</v>
      </c>
      <c r="W147" s="46"/>
      <c r="X147" s="46"/>
      <c r="Y147" s="46"/>
      <c r="Z147" s="46"/>
      <c r="AA147" s="46"/>
      <c r="AB147" s="46"/>
      <c r="AC147" s="46"/>
      <c r="AD147" s="47"/>
      <c r="AE147" s="47"/>
      <c r="AF147" s="47"/>
      <c r="AG147" s="48" t="s">
        <v>427</v>
      </c>
      <c r="AH147" s="47"/>
      <c r="AI147" s="49"/>
      <c r="AJ147" s="49" t="s">
        <v>357</v>
      </c>
      <c r="AK147" s="50" t="str">
        <f>IFERROR(__xludf.DUMMYFUNCTION("""COMPUTED_VALUE"""),"49961545004736")</f>
        <v>49961545004736</v>
      </c>
    </row>
    <row r="148" ht="15.75" customHeight="1">
      <c r="A148" s="51">
        <v>337.0</v>
      </c>
      <c r="B148" s="51" t="s">
        <v>1453</v>
      </c>
      <c r="C148" s="51" t="s">
        <v>2152</v>
      </c>
      <c r="D148" s="51" t="s">
        <v>1456</v>
      </c>
      <c r="E148" s="51" t="s">
        <v>252</v>
      </c>
      <c r="F148" s="51" t="s">
        <v>2158</v>
      </c>
      <c r="G148" s="51" t="s">
        <v>249</v>
      </c>
      <c r="H148" s="51" t="s">
        <v>2204</v>
      </c>
      <c r="I148" s="51">
        <v>6750.0</v>
      </c>
      <c r="J148" s="51" t="s">
        <v>1454</v>
      </c>
      <c r="K148" s="51" t="s">
        <v>2203</v>
      </c>
      <c r="L148" s="51" t="s">
        <v>1534</v>
      </c>
      <c r="M148" s="51" t="s">
        <v>226</v>
      </c>
      <c r="N148" s="51" t="s">
        <v>2616</v>
      </c>
      <c r="O148" s="51" t="s">
        <v>375</v>
      </c>
      <c r="P148" s="51" t="s">
        <v>575</v>
      </c>
      <c r="Q148" s="51" t="s">
        <v>2618</v>
      </c>
      <c r="R148" s="51" t="s">
        <v>2619</v>
      </c>
      <c r="S148" s="51" t="s">
        <v>1458</v>
      </c>
      <c r="T148" s="51" t="s">
        <v>1459</v>
      </c>
      <c r="U148" s="52">
        <v>0.4166666666666667</v>
      </c>
      <c r="V148" s="52">
        <v>0.9166666666666666</v>
      </c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3" t="s">
        <v>342</v>
      </c>
      <c r="AH148" s="51"/>
      <c r="AI148" s="51"/>
      <c r="AJ148" s="51" t="s">
        <v>357</v>
      </c>
      <c r="AK148" s="50" t="str">
        <f>IFERROR(__xludf.DUMMYFUNCTION("""COMPUTED_VALUE"""),"49961545003411")</f>
        <v>49961545003411</v>
      </c>
    </row>
    <row r="149" ht="15.75" customHeight="1">
      <c r="A149" s="41">
        <v>338.0</v>
      </c>
      <c r="B149" s="41" t="s">
        <v>2206</v>
      </c>
      <c r="C149" s="41" t="s">
        <v>2152</v>
      </c>
      <c r="D149" s="41" t="s">
        <v>1467</v>
      </c>
      <c r="E149" s="41" t="s">
        <v>252</v>
      </c>
      <c r="F149" s="41" t="s">
        <v>2158</v>
      </c>
      <c r="G149" s="41" t="s">
        <v>249</v>
      </c>
      <c r="H149" s="42" t="s">
        <v>2208</v>
      </c>
      <c r="I149" s="42">
        <v>5200.0</v>
      </c>
      <c r="J149" s="42" t="s">
        <v>1464</v>
      </c>
      <c r="K149" s="42" t="s">
        <v>2207</v>
      </c>
      <c r="L149" s="42" t="s">
        <v>2155</v>
      </c>
      <c r="M149" s="42" t="s">
        <v>226</v>
      </c>
      <c r="N149" s="42" t="s">
        <v>2620</v>
      </c>
      <c r="O149" s="42" t="s">
        <v>400</v>
      </c>
      <c r="P149" s="42" t="s">
        <v>575</v>
      </c>
      <c r="Q149" s="43" t="s">
        <v>2621</v>
      </c>
      <c r="R149" s="43" t="s">
        <v>2622</v>
      </c>
      <c r="S149" s="43" t="s">
        <v>1470</v>
      </c>
      <c r="T149" s="43" t="s">
        <v>1472</v>
      </c>
      <c r="U149" s="45">
        <v>0.4166666666666667</v>
      </c>
      <c r="V149" s="45">
        <v>0.9166666666666666</v>
      </c>
      <c r="W149" s="46"/>
      <c r="X149" s="46"/>
      <c r="Y149" s="46"/>
      <c r="Z149" s="46"/>
      <c r="AA149" s="46"/>
      <c r="AB149" s="46"/>
      <c r="AC149" s="46"/>
      <c r="AD149" s="47"/>
      <c r="AE149" s="47"/>
      <c r="AF149" s="47"/>
      <c r="AG149" s="48" t="s">
        <v>342</v>
      </c>
      <c r="AH149" s="47"/>
      <c r="AI149" s="49"/>
      <c r="AJ149" s="49" t="s">
        <v>357</v>
      </c>
      <c r="AK149" s="50" t="str">
        <f>IFERROR(__xludf.DUMMYFUNCTION("""COMPUTED_VALUE"""),"49961545000234")</f>
        <v>49961545000234</v>
      </c>
    </row>
    <row r="150" ht="15.75" customHeight="1">
      <c r="A150" s="51">
        <v>339.0</v>
      </c>
      <c r="B150" s="51" t="s">
        <v>1474</v>
      </c>
      <c r="C150" s="51" t="s">
        <v>2152</v>
      </c>
      <c r="D150" s="51" t="s">
        <v>1478</v>
      </c>
      <c r="E150" s="51" t="s">
        <v>252</v>
      </c>
      <c r="F150" s="51" t="s">
        <v>2158</v>
      </c>
      <c r="G150" s="51" t="s">
        <v>249</v>
      </c>
      <c r="H150" s="51" t="s">
        <v>2211</v>
      </c>
      <c r="I150" s="51">
        <v>2001.0</v>
      </c>
      <c r="J150" s="51" t="s">
        <v>1475</v>
      </c>
      <c r="K150" s="51" t="s">
        <v>2178</v>
      </c>
      <c r="L150" s="51" t="s">
        <v>2210</v>
      </c>
      <c r="M150" s="51" t="s">
        <v>226</v>
      </c>
      <c r="N150" s="51" t="s">
        <v>2623</v>
      </c>
      <c r="O150" s="51" t="s">
        <v>375</v>
      </c>
      <c r="P150" s="51" t="s">
        <v>575</v>
      </c>
      <c r="Q150" s="51" t="s">
        <v>2624</v>
      </c>
      <c r="R150" s="51" t="s">
        <v>2625</v>
      </c>
      <c r="S150" s="51" t="s">
        <v>1480</v>
      </c>
      <c r="T150" s="51" t="s">
        <v>1481</v>
      </c>
      <c r="U150" s="52">
        <v>0.4166666666666667</v>
      </c>
      <c r="V150" s="52">
        <v>0.9166666666666666</v>
      </c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3" t="s">
        <v>342</v>
      </c>
      <c r="AH150" s="51"/>
      <c r="AI150" s="51"/>
      <c r="AJ150" s="51" t="s">
        <v>357</v>
      </c>
      <c r="AK150" s="50" t="str">
        <f>IFERROR(__xludf.DUMMYFUNCTION("""COMPUTED_VALUE"""),"49961545002288")</f>
        <v>49961545002288</v>
      </c>
    </row>
    <row r="151" ht="15.75" customHeight="1">
      <c r="A151" s="41">
        <v>343.0</v>
      </c>
      <c r="B151" s="41" t="s">
        <v>1482</v>
      </c>
      <c r="C151" s="41" t="s">
        <v>2152</v>
      </c>
      <c r="D151" s="41" t="s">
        <v>1487</v>
      </c>
      <c r="E151" s="41" t="s">
        <v>252</v>
      </c>
      <c r="F151" s="41" t="s">
        <v>2158</v>
      </c>
      <c r="G151" s="41" t="s">
        <v>249</v>
      </c>
      <c r="H151" s="42" t="s">
        <v>2175</v>
      </c>
      <c r="I151" s="42">
        <v>1800.0</v>
      </c>
      <c r="J151" s="42" t="s">
        <v>1484</v>
      </c>
      <c r="K151" s="42" t="s">
        <v>2174</v>
      </c>
      <c r="L151" s="42" t="s">
        <v>2155</v>
      </c>
      <c r="M151" s="42" t="s">
        <v>226</v>
      </c>
      <c r="N151" s="42" t="s">
        <v>2506</v>
      </c>
      <c r="O151" s="42" t="s">
        <v>400</v>
      </c>
      <c r="P151" s="42" t="s">
        <v>575</v>
      </c>
      <c r="Q151" s="43" t="s">
        <v>2626</v>
      </c>
      <c r="R151" s="43" t="s">
        <v>2627</v>
      </c>
      <c r="S151" s="43" t="s">
        <v>1490</v>
      </c>
      <c r="T151" s="43" t="s">
        <v>1493</v>
      </c>
      <c r="U151" s="45">
        <v>0.4166666666666667</v>
      </c>
      <c r="V151" s="45">
        <v>0.9166666666666666</v>
      </c>
      <c r="W151" s="46"/>
      <c r="X151" s="46"/>
      <c r="Y151" s="46"/>
      <c r="Z151" s="46"/>
      <c r="AA151" s="46"/>
      <c r="AB151" s="46"/>
      <c r="AC151" s="46"/>
      <c r="AD151" s="47"/>
      <c r="AE151" s="47"/>
      <c r="AF151" s="47"/>
      <c r="AG151" s="48" t="s">
        <v>342</v>
      </c>
      <c r="AH151" s="47"/>
      <c r="AI151" s="49"/>
      <c r="AJ151" s="49" t="s">
        <v>357</v>
      </c>
      <c r="AK151" s="50" t="str">
        <f>IFERROR(__xludf.DUMMYFUNCTION("""COMPUTED_VALUE"""),"49961545001044")</f>
        <v>49961545001044</v>
      </c>
    </row>
    <row r="152" ht="15.75" customHeight="1">
      <c r="A152" s="51">
        <v>345.0</v>
      </c>
      <c r="B152" s="51" t="s">
        <v>1497</v>
      </c>
      <c r="C152" s="51" t="s">
        <v>2152</v>
      </c>
      <c r="D152" s="51" t="s">
        <v>1504</v>
      </c>
      <c r="E152" s="51" t="s">
        <v>252</v>
      </c>
      <c r="F152" s="51" t="s">
        <v>2158</v>
      </c>
      <c r="G152" s="51" t="s">
        <v>249</v>
      </c>
      <c r="H152" s="51" t="s">
        <v>2204</v>
      </c>
      <c r="I152" s="51">
        <v>6750.0</v>
      </c>
      <c r="J152" s="51" t="s">
        <v>1500</v>
      </c>
      <c r="K152" s="51" t="s">
        <v>2203</v>
      </c>
      <c r="L152" s="51" t="s">
        <v>1534</v>
      </c>
      <c r="M152" s="51" t="s">
        <v>226</v>
      </c>
      <c r="N152" s="51" t="s">
        <v>2616</v>
      </c>
      <c r="O152" s="51" t="s">
        <v>400</v>
      </c>
      <c r="P152" s="51" t="s">
        <v>575</v>
      </c>
      <c r="Q152" s="51" t="s">
        <v>2628</v>
      </c>
      <c r="R152" s="51" t="s">
        <v>2629</v>
      </c>
      <c r="S152" s="51" t="s">
        <v>1506</v>
      </c>
      <c r="T152" s="51" t="s">
        <v>1507</v>
      </c>
      <c r="U152" s="52">
        <v>0.4166666666666667</v>
      </c>
      <c r="V152" s="52">
        <v>0.9166666666666666</v>
      </c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3" t="s">
        <v>342</v>
      </c>
      <c r="AH152" s="51"/>
      <c r="AI152" s="51"/>
      <c r="AJ152" s="51" t="s">
        <v>357</v>
      </c>
      <c r="AK152" s="50" t="str">
        <f>IFERROR(__xludf.DUMMYFUNCTION("""COMPUTED_VALUE"""),"49961545001630")</f>
        <v>49961545001630</v>
      </c>
    </row>
    <row r="153" ht="15.75" customHeight="1">
      <c r="A153" s="41">
        <v>346.0</v>
      </c>
      <c r="B153" s="41" t="s">
        <v>2215</v>
      </c>
      <c r="C153" s="41" t="s">
        <v>2152</v>
      </c>
      <c r="D153" s="41" t="s">
        <v>1514</v>
      </c>
      <c r="E153" s="41" t="s">
        <v>252</v>
      </c>
      <c r="F153" s="41" t="s">
        <v>2158</v>
      </c>
      <c r="G153" s="41" t="s">
        <v>249</v>
      </c>
      <c r="H153" s="42" t="s">
        <v>2217</v>
      </c>
      <c r="I153" s="42">
        <v>268.0</v>
      </c>
      <c r="J153" s="42" t="s">
        <v>1511</v>
      </c>
      <c r="K153" s="42" t="s">
        <v>39</v>
      </c>
      <c r="L153" s="42" t="s">
        <v>2216</v>
      </c>
      <c r="M153" s="42" t="s">
        <v>240</v>
      </c>
      <c r="N153" s="42" t="s">
        <v>2630</v>
      </c>
      <c r="O153" s="42" t="s">
        <v>419</v>
      </c>
      <c r="P153" s="42" t="s">
        <v>575</v>
      </c>
      <c r="Q153" s="43" t="s">
        <v>2631</v>
      </c>
      <c r="R153" s="43" t="s">
        <v>2632</v>
      </c>
      <c r="S153" s="43" t="s">
        <v>1515</v>
      </c>
      <c r="T153" s="43" t="s">
        <v>1516</v>
      </c>
      <c r="U153" s="45">
        <v>0.4166666666666667</v>
      </c>
      <c r="V153" s="45">
        <v>0.9166666666666666</v>
      </c>
      <c r="W153" s="46"/>
      <c r="X153" s="46"/>
      <c r="Y153" s="46"/>
      <c r="Z153" s="46"/>
      <c r="AA153" s="46"/>
      <c r="AB153" s="46"/>
      <c r="AC153" s="46"/>
      <c r="AD153" s="47"/>
      <c r="AE153" s="47"/>
      <c r="AF153" s="47"/>
      <c r="AG153" s="48" t="s">
        <v>342</v>
      </c>
      <c r="AH153" s="47"/>
      <c r="AI153" s="49"/>
      <c r="AJ153" s="49" t="s">
        <v>357</v>
      </c>
      <c r="AK153" s="50" t="str">
        <f>IFERROR(__xludf.DUMMYFUNCTION("""COMPUTED_VALUE"""),"49961545006003")</f>
        <v>49961545006003</v>
      </c>
    </row>
    <row r="154" ht="15.75" customHeight="1">
      <c r="A154" s="51">
        <v>347.0</v>
      </c>
      <c r="B154" s="51" t="s">
        <v>2218</v>
      </c>
      <c r="C154" s="51" t="s">
        <v>2152</v>
      </c>
      <c r="D154" s="51" t="s">
        <v>1524</v>
      </c>
      <c r="E154" s="51" t="s">
        <v>252</v>
      </c>
      <c r="F154" s="51" t="s">
        <v>2158</v>
      </c>
      <c r="G154" s="51" t="s">
        <v>249</v>
      </c>
      <c r="H154" s="51" t="s">
        <v>2223</v>
      </c>
      <c r="I154" s="51">
        <v>2780.0</v>
      </c>
      <c r="J154" s="51" t="s">
        <v>1520</v>
      </c>
      <c r="K154" s="51" t="s">
        <v>2222</v>
      </c>
      <c r="L154" s="51" t="s">
        <v>2220</v>
      </c>
      <c r="M154" s="51" t="s">
        <v>226</v>
      </c>
      <c r="N154" s="51" t="s">
        <v>2633</v>
      </c>
      <c r="O154" s="51" t="s">
        <v>400</v>
      </c>
      <c r="P154" s="51" t="s">
        <v>575</v>
      </c>
      <c r="Q154" s="51" t="s">
        <v>2634</v>
      </c>
      <c r="R154" s="51" t="s">
        <v>2635</v>
      </c>
      <c r="S154" s="51" t="s">
        <v>1527</v>
      </c>
      <c r="T154" s="51" t="s">
        <v>1528</v>
      </c>
      <c r="U154" s="52">
        <v>0.4166666666666667</v>
      </c>
      <c r="V154" s="52">
        <v>0.9166666666666666</v>
      </c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3" t="s">
        <v>342</v>
      </c>
      <c r="AH154" s="51"/>
      <c r="AI154" s="51"/>
      <c r="AJ154" s="51" t="s">
        <v>357</v>
      </c>
      <c r="AK154" s="50" t="str">
        <f>IFERROR(__xludf.DUMMYFUNCTION("""COMPUTED_VALUE"""),"49961545002873")</f>
        <v>49961545002873</v>
      </c>
    </row>
    <row r="155" ht="15.75" customHeight="1">
      <c r="A155" s="41">
        <v>348.0</v>
      </c>
      <c r="B155" s="41" t="s">
        <v>1530</v>
      </c>
      <c r="C155" s="41" t="s">
        <v>2152</v>
      </c>
      <c r="D155" s="41" t="s">
        <v>1535</v>
      </c>
      <c r="E155" s="41" t="s">
        <v>252</v>
      </c>
      <c r="F155" s="41" t="s">
        <v>2158</v>
      </c>
      <c r="G155" s="41" t="s">
        <v>249</v>
      </c>
      <c r="H155" s="42" t="s">
        <v>2172</v>
      </c>
      <c r="I155" s="42">
        <v>4545.0</v>
      </c>
      <c r="J155" s="42" t="s">
        <v>1532</v>
      </c>
      <c r="K155" s="42" t="s">
        <v>1533</v>
      </c>
      <c r="L155" s="42" t="s">
        <v>1534</v>
      </c>
      <c r="M155" s="42" t="s">
        <v>226</v>
      </c>
      <c r="N155" s="42" t="s">
        <v>2491</v>
      </c>
      <c r="O155" s="42" t="s">
        <v>400</v>
      </c>
      <c r="P155" s="42" t="s">
        <v>575</v>
      </c>
      <c r="Q155" s="43"/>
      <c r="R155" s="43" t="s">
        <v>2636</v>
      </c>
      <c r="S155" s="43" t="s">
        <v>1537</v>
      </c>
      <c r="T155" s="43" t="s">
        <v>1538</v>
      </c>
      <c r="U155" s="45">
        <v>0.4166666666666667</v>
      </c>
      <c r="V155" s="45">
        <v>0.9166666666666666</v>
      </c>
      <c r="W155" s="46"/>
      <c r="X155" s="46"/>
      <c r="Y155" s="46"/>
      <c r="Z155" s="46"/>
      <c r="AA155" s="46"/>
      <c r="AB155" s="46"/>
      <c r="AC155" s="46"/>
      <c r="AD155" s="47"/>
      <c r="AE155" s="47"/>
      <c r="AF155" s="47"/>
      <c r="AG155" s="48" t="s">
        <v>342</v>
      </c>
      <c r="AH155" s="47"/>
      <c r="AI155" s="49"/>
      <c r="AJ155" s="49" t="s">
        <v>357</v>
      </c>
      <c r="AK155" s="50" t="str">
        <f>IFERROR(__xludf.DUMMYFUNCTION("""COMPUTED_VALUE"""),"49961545002520")</f>
        <v>49961545002520</v>
      </c>
    </row>
    <row r="156" ht="15.75" customHeight="1">
      <c r="A156" s="51">
        <v>349.0</v>
      </c>
      <c r="B156" s="51" t="s">
        <v>2224</v>
      </c>
      <c r="C156" s="51" t="s">
        <v>2152</v>
      </c>
      <c r="D156" s="51" t="s">
        <v>1545</v>
      </c>
      <c r="E156" s="51" t="s">
        <v>252</v>
      </c>
      <c r="F156" s="51" t="s">
        <v>2158</v>
      </c>
      <c r="G156" s="51" t="s">
        <v>249</v>
      </c>
      <c r="H156" s="51" t="s">
        <v>2228</v>
      </c>
      <c r="I156" s="51">
        <v>687.0</v>
      </c>
      <c r="J156" s="51" t="s">
        <v>1541</v>
      </c>
      <c r="K156" s="51" t="s">
        <v>2226</v>
      </c>
      <c r="L156" s="51" t="s">
        <v>1137</v>
      </c>
      <c r="M156" s="51" t="s">
        <v>240</v>
      </c>
      <c r="N156" s="51" t="s">
        <v>2341</v>
      </c>
      <c r="O156" s="51" t="s">
        <v>419</v>
      </c>
      <c r="P156" s="51" t="s">
        <v>575</v>
      </c>
      <c r="Q156" s="51" t="s">
        <v>2637</v>
      </c>
      <c r="R156" s="51" t="s">
        <v>2638</v>
      </c>
      <c r="S156" s="51" t="s">
        <v>1547</v>
      </c>
      <c r="T156" s="51" t="s">
        <v>1548</v>
      </c>
      <c r="U156" s="52">
        <v>0.4166666666666667</v>
      </c>
      <c r="V156" s="52">
        <v>0.9166666666666666</v>
      </c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3" t="s">
        <v>342</v>
      </c>
      <c r="AH156" s="51"/>
      <c r="AI156" s="51"/>
      <c r="AJ156" s="51" t="s">
        <v>357</v>
      </c>
      <c r="AK156" s="50" t="str">
        <f>IFERROR(__xludf.DUMMYFUNCTION("""COMPUTED_VALUE"""),"49961545005970")</f>
        <v>49961545005970</v>
      </c>
    </row>
    <row r="157" ht="15.75" customHeight="1">
      <c r="A157" s="41">
        <v>351.0</v>
      </c>
      <c r="B157" s="41" t="s">
        <v>2229</v>
      </c>
      <c r="C157" s="41" t="s">
        <v>2152</v>
      </c>
      <c r="D157" s="41" t="s">
        <v>1555</v>
      </c>
      <c r="E157" s="41" t="s">
        <v>252</v>
      </c>
      <c r="F157" s="41" t="s">
        <v>2158</v>
      </c>
      <c r="G157" s="41" t="s">
        <v>249</v>
      </c>
      <c r="H157" s="42" t="s">
        <v>258</v>
      </c>
      <c r="I157" s="42">
        <v>1213.0</v>
      </c>
      <c r="J157" s="42" t="s">
        <v>1551</v>
      </c>
      <c r="K157" s="42" t="s">
        <v>39</v>
      </c>
      <c r="L157" s="42" t="s">
        <v>2230</v>
      </c>
      <c r="M157" s="42" t="s">
        <v>240</v>
      </c>
      <c r="N157" s="42" t="s">
        <v>2639</v>
      </c>
      <c r="O157" s="42" t="s">
        <v>419</v>
      </c>
      <c r="P157" s="42" t="s">
        <v>575</v>
      </c>
      <c r="Q157" s="43" t="s">
        <v>2640</v>
      </c>
      <c r="R157" s="43" t="s">
        <v>2641</v>
      </c>
      <c r="S157" s="43" t="s">
        <v>1557</v>
      </c>
      <c r="T157" s="43" t="s">
        <v>1558</v>
      </c>
      <c r="U157" s="45">
        <v>0.4166666666666667</v>
      </c>
      <c r="V157" s="45">
        <v>0.9166666666666666</v>
      </c>
      <c r="W157" s="46"/>
      <c r="X157" s="46"/>
      <c r="Y157" s="46"/>
      <c r="Z157" s="46"/>
      <c r="AA157" s="46"/>
      <c r="AB157" s="46"/>
      <c r="AC157" s="46"/>
      <c r="AD157" s="47"/>
      <c r="AE157" s="47"/>
      <c r="AF157" s="47"/>
      <c r="AG157" s="48" t="s">
        <v>342</v>
      </c>
      <c r="AH157" s="47"/>
      <c r="AI157" s="49"/>
      <c r="AJ157" s="49" t="s">
        <v>357</v>
      </c>
      <c r="AK157" s="50" t="str">
        <f>IFERROR(__xludf.DUMMYFUNCTION("""COMPUTED_VALUE"""),"49961545006194")</f>
        <v>49961545006194</v>
      </c>
    </row>
    <row r="158" ht="15.75" customHeight="1">
      <c r="A158" s="51">
        <v>352.0</v>
      </c>
      <c r="B158" s="51" t="s">
        <v>1559</v>
      </c>
      <c r="C158" s="51" t="s">
        <v>2152</v>
      </c>
      <c r="D158" s="51" t="s">
        <v>1564</v>
      </c>
      <c r="E158" s="51" t="s">
        <v>252</v>
      </c>
      <c r="F158" s="51" t="s">
        <v>2158</v>
      </c>
      <c r="G158" s="51" t="s">
        <v>249</v>
      </c>
      <c r="H158" s="51" t="s">
        <v>2233</v>
      </c>
      <c r="I158" s="51">
        <v>300.0</v>
      </c>
      <c r="J158" s="51" t="s">
        <v>1561</v>
      </c>
      <c r="K158" s="51" t="s">
        <v>2232</v>
      </c>
      <c r="L158" s="51" t="s">
        <v>2155</v>
      </c>
      <c r="M158" s="51" t="s">
        <v>226</v>
      </c>
      <c r="N158" s="51" t="s">
        <v>2642</v>
      </c>
      <c r="O158" s="51" t="s">
        <v>375</v>
      </c>
      <c r="P158" s="51" t="s">
        <v>575</v>
      </c>
      <c r="Q158" s="51" t="s">
        <v>2643</v>
      </c>
      <c r="R158" s="51" t="s">
        <v>2644</v>
      </c>
      <c r="S158" s="51" t="s">
        <v>1566</v>
      </c>
      <c r="T158" s="51" t="s">
        <v>1568</v>
      </c>
      <c r="U158" s="52">
        <v>0.4166666666666667</v>
      </c>
      <c r="V158" s="52">
        <v>0.9166666666666666</v>
      </c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3" t="s">
        <v>342</v>
      </c>
      <c r="AH158" s="51"/>
      <c r="AI158" s="51"/>
      <c r="AJ158" s="51" t="s">
        <v>357</v>
      </c>
      <c r="AK158" s="50" t="str">
        <f>IFERROR(__xludf.DUMMYFUNCTION("""COMPUTED_VALUE"""),"49961545001710")</f>
        <v>49961545001710</v>
      </c>
    </row>
    <row r="159" ht="15.75" customHeight="1">
      <c r="A159" s="41">
        <v>353.0</v>
      </c>
      <c r="B159" s="41" t="s">
        <v>1569</v>
      </c>
      <c r="C159" s="41" t="s">
        <v>2152</v>
      </c>
      <c r="D159" s="41" t="s">
        <v>1571</v>
      </c>
      <c r="E159" s="41" t="s">
        <v>252</v>
      </c>
      <c r="F159" s="41" t="s">
        <v>2158</v>
      </c>
      <c r="G159" s="41" t="s">
        <v>249</v>
      </c>
      <c r="H159" s="42" t="s">
        <v>2233</v>
      </c>
      <c r="I159" s="42">
        <v>300.0</v>
      </c>
      <c r="J159" s="42" t="s">
        <v>1570</v>
      </c>
      <c r="K159" s="42" t="s">
        <v>2232</v>
      </c>
      <c r="L159" s="42" t="s">
        <v>2155</v>
      </c>
      <c r="M159" s="42" t="s">
        <v>226</v>
      </c>
      <c r="N159" s="42" t="s">
        <v>2642</v>
      </c>
      <c r="O159" s="42" t="s">
        <v>400</v>
      </c>
      <c r="P159" s="42" t="s">
        <v>575</v>
      </c>
      <c r="Q159" s="43" t="s">
        <v>2645</v>
      </c>
      <c r="R159" s="43" t="s">
        <v>2646</v>
      </c>
      <c r="S159" s="43" t="s">
        <v>1572</v>
      </c>
      <c r="T159" s="43" t="s">
        <v>1573</v>
      </c>
      <c r="U159" s="45">
        <v>0.4166666666666667</v>
      </c>
      <c r="V159" s="45">
        <v>0.9166666666666666</v>
      </c>
      <c r="W159" s="46"/>
      <c r="X159" s="46"/>
      <c r="Y159" s="46"/>
      <c r="Z159" s="46"/>
      <c r="AA159" s="46"/>
      <c r="AB159" s="46"/>
      <c r="AC159" s="46"/>
      <c r="AD159" s="47"/>
      <c r="AE159" s="47"/>
      <c r="AF159" s="47"/>
      <c r="AG159" s="48" t="s">
        <v>342</v>
      </c>
      <c r="AH159" s="47"/>
      <c r="AI159" s="49"/>
      <c r="AJ159" s="49" t="s">
        <v>357</v>
      </c>
      <c r="AK159" s="50" t="str">
        <f>IFERROR(__xludf.DUMMYFUNCTION("""COMPUTED_VALUE"""),"49961545000820")</f>
        <v>49961545000820</v>
      </c>
    </row>
    <row r="160" ht="15.75" customHeight="1">
      <c r="A160" s="51">
        <v>355.0</v>
      </c>
      <c r="B160" s="51" t="s">
        <v>2235</v>
      </c>
      <c r="C160" s="51" t="s">
        <v>2152</v>
      </c>
      <c r="D160" s="51" t="s">
        <v>1581</v>
      </c>
      <c r="E160" s="51" t="s">
        <v>252</v>
      </c>
      <c r="F160" s="51" t="s">
        <v>2158</v>
      </c>
      <c r="G160" s="51" t="s">
        <v>249</v>
      </c>
      <c r="H160" s="51" t="s">
        <v>2237</v>
      </c>
      <c r="I160" s="51">
        <v>355.0</v>
      </c>
      <c r="J160" s="51" t="s">
        <v>1577</v>
      </c>
      <c r="K160" s="51" t="s">
        <v>39</v>
      </c>
      <c r="L160" s="51" t="s">
        <v>2236</v>
      </c>
      <c r="M160" s="51" t="s">
        <v>226</v>
      </c>
      <c r="N160" s="51" t="s">
        <v>2647</v>
      </c>
      <c r="O160" s="51" t="s">
        <v>400</v>
      </c>
      <c r="P160" s="51" t="s">
        <v>575</v>
      </c>
      <c r="Q160" s="51" t="s">
        <v>2648</v>
      </c>
      <c r="R160" s="51" t="s">
        <v>2649</v>
      </c>
      <c r="S160" s="51" t="s">
        <v>1585</v>
      </c>
      <c r="T160" s="51" t="s">
        <v>1586</v>
      </c>
      <c r="U160" s="52">
        <v>0.4166666666666667</v>
      </c>
      <c r="V160" s="52">
        <v>0.9166666666666666</v>
      </c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3" t="s">
        <v>342</v>
      </c>
      <c r="AH160" s="51"/>
      <c r="AI160" s="51"/>
      <c r="AJ160" s="51" t="s">
        <v>357</v>
      </c>
      <c r="AK160" s="50" t="str">
        <f>IFERROR(__xludf.DUMMYFUNCTION("""COMPUTED_VALUE"""),"49961545006356")</f>
        <v>49961545006356</v>
      </c>
    </row>
    <row r="161" ht="15.75" customHeight="1">
      <c r="A161" s="41">
        <v>356.0</v>
      </c>
      <c r="B161" s="41" t="s">
        <v>2238</v>
      </c>
      <c r="C161" s="41" t="s">
        <v>2152</v>
      </c>
      <c r="D161" s="41" t="s">
        <v>1592</v>
      </c>
      <c r="E161" s="41" t="s">
        <v>252</v>
      </c>
      <c r="F161" s="41" t="s">
        <v>2158</v>
      </c>
      <c r="G161" s="41" t="s">
        <v>249</v>
      </c>
      <c r="H161" s="42" t="s">
        <v>2157</v>
      </c>
      <c r="I161" s="42">
        <v>1320.0</v>
      </c>
      <c r="J161" s="42" t="s">
        <v>1588</v>
      </c>
      <c r="K161" s="42" t="s">
        <v>2156</v>
      </c>
      <c r="L161" s="42" t="s">
        <v>2155</v>
      </c>
      <c r="M161" s="42" t="s">
        <v>226</v>
      </c>
      <c r="N161" s="42" t="s">
        <v>2460</v>
      </c>
      <c r="O161" s="42" t="s">
        <v>400</v>
      </c>
      <c r="P161" s="42" t="s">
        <v>575</v>
      </c>
      <c r="Q161" s="43" t="s">
        <v>2650</v>
      </c>
      <c r="R161" s="43" t="s">
        <v>2651</v>
      </c>
      <c r="S161" s="43" t="s">
        <v>1593</v>
      </c>
      <c r="T161" s="43" t="s">
        <v>1594</v>
      </c>
      <c r="U161" s="45">
        <v>0.375</v>
      </c>
      <c r="V161" s="45">
        <v>0.8333333333333334</v>
      </c>
      <c r="W161" s="46"/>
      <c r="X161" s="46"/>
      <c r="Y161" s="46"/>
      <c r="Z161" s="46"/>
      <c r="AA161" s="46"/>
      <c r="AB161" s="46"/>
      <c r="AC161" s="46"/>
      <c r="AD161" s="47"/>
      <c r="AE161" s="47"/>
      <c r="AF161" s="47"/>
      <c r="AG161" s="48" t="s">
        <v>342</v>
      </c>
      <c r="AH161" s="47"/>
      <c r="AI161" s="49"/>
      <c r="AJ161" s="49" t="s">
        <v>357</v>
      </c>
      <c r="AK161" s="50" t="str">
        <f>IFERROR(__xludf.DUMMYFUNCTION("""COMPUTED_VALUE"""),"49961545003179")</f>
        <v>49961545003179</v>
      </c>
    </row>
    <row r="162" ht="15.75" customHeight="1">
      <c r="A162" s="51">
        <v>359.0</v>
      </c>
      <c r="B162" s="51" t="s">
        <v>2240</v>
      </c>
      <c r="C162" s="51" t="s">
        <v>2152</v>
      </c>
      <c r="D162" s="51" t="s">
        <v>1603</v>
      </c>
      <c r="E162" s="51" t="s">
        <v>252</v>
      </c>
      <c r="F162" s="51" t="s">
        <v>2158</v>
      </c>
      <c r="G162" s="51" t="s">
        <v>249</v>
      </c>
      <c r="H162" s="51" t="s">
        <v>2242</v>
      </c>
      <c r="I162" s="51">
        <v>333.0</v>
      </c>
      <c r="J162" s="51" t="s">
        <v>1599</v>
      </c>
      <c r="K162" s="51" t="s">
        <v>2241</v>
      </c>
      <c r="L162" s="51" t="s">
        <v>1151</v>
      </c>
      <c r="M162" s="51" t="s">
        <v>240</v>
      </c>
      <c r="N162" s="51" t="s">
        <v>2652</v>
      </c>
      <c r="O162" s="51" t="s">
        <v>419</v>
      </c>
      <c r="P162" s="51" t="s">
        <v>575</v>
      </c>
      <c r="Q162" s="51" t="s">
        <v>2653</v>
      </c>
      <c r="R162" s="51" t="s">
        <v>2654</v>
      </c>
      <c r="S162" s="51" t="s">
        <v>1604</v>
      </c>
      <c r="T162" s="51" t="s">
        <v>1605</v>
      </c>
      <c r="U162" s="52">
        <v>0.4166666666666667</v>
      </c>
      <c r="V162" s="52">
        <v>0.9166666666666666</v>
      </c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3" t="s">
        <v>342</v>
      </c>
      <c r="AH162" s="51"/>
      <c r="AI162" s="51"/>
      <c r="AJ162" s="51" t="s">
        <v>357</v>
      </c>
      <c r="AK162" s="50" t="str">
        <f>IFERROR(__xludf.DUMMYFUNCTION("""COMPUTED_VALUE"""),"49961545006275")</f>
        <v>49961545006275</v>
      </c>
    </row>
    <row r="163" ht="15.75" customHeight="1">
      <c r="A163" s="41">
        <v>360.0</v>
      </c>
      <c r="B163" s="41" t="s">
        <v>2244</v>
      </c>
      <c r="C163" s="41" t="s">
        <v>2243</v>
      </c>
      <c r="D163" s="41" t="s">
        <v>2655</v>
      </c>
      <c r="E163" s="41" t="s">
        <v>857</v>
      </c>
      <c r="F163" s="41" t="s">
        <v>124</v>
      </c>
      <c r="G163" s="41" t="s">
        <v>249</v>
      </c>
      <c r="H163" s="42" t="s">
        <v>2157</v>
      </c>
      <c r="I163" s="42">
        <v>1001.0</v>
      </c>
      <c r="J163" s="42"/>
      <c r="K163" s="42" t="s">
        <v>2156</v>
      </c>
      <c r="L163" s="42" t="s">
        <v>2155</v>
      </c>
      <c r="M163" s="42" t="s">
        <v>226</v>
      </c>
      <c r="N163" s="42" t="s">
        <v>2656</v>
      </c>
      <c r="O163" s="42" t="s">
        <v>375</v>
      </c>
      <c r="P163" s="42" t="s">
        <v>575</v>
      </c>
      <c r="Q163" s="43"/>
      <c r="R163" s="43"/>
      <c r="S163" s="43"/>
      <c r="T163" s="43"/>
      <c r="U163" s="45"/>
      <c r="V163" s="45"/>
      <c r="W163" s="46"/>
      <c r="X163" s="46"/>
      <c r="Y163" s="46"/>
      <c r="Z163" s="46"/>
      <c r="AA163" s="46"/>
      <c r="AB163" s="46"/>
      <c r="AC163" s="46"/>
      <c r="AD163" s="47"/>
      <c r="AE163" s="47"/>
      <c r="AF163" s="47"/>
      <c r="AG163" s="48" t="s">
        <v>342</v>
      </c>
      <c r="AH163" s="47"/>
      <c r="AI163" s="49"/>
      <c r="AJ163" s="49"/>
      <c r="AK163" s="50" t="str">
        <f>IFERROR(__xludf.DUMMYFUNCTION("""COMPUTED_VALUE"""),"49961545004906")</f>
        <v>49961545004906</v>
      </c>
    </row>
    <row r="164" ht="15.75" customHeight="1">
      <c r="A164" s="51">
        <v>362.0</v>
      </c>
      <c r="B164" s="51" t="s">
        <v>2245</v>
      </c>
      <c r="C164" s="51" t="s">
        <v>2152</v>
      </c>
      <c r="D164" s="51" t="s">
        <v>1613</v>
      </c>
      <c r="E164" s="51" t="s">
        <v>252</v>
      </c>
      <c r="F164" s="51" t="s">
        <v>2158</v>
      </c>
      <c r="G164" s="51" t="s">
        <v>249</v>
      </c>
      <c r="H164" s="51" t="s">
        <v>2248</v>
      </c>
      <c r="I164" s="51">
        <v>305.0</v>
      </c>
      <c r="J164" s="51" t="s">
        <v>1608</v>
      </c>
      <c r="K164" s="51" t="s">
        <v>2247</v>
      </c>
      <c r="L164" s="51" t="s">
        <v>2246</v>
      </c>
      <c r="M164" s="51" t="s">
        <v>226</v>
      </c>
      <c r="N164" s="51" t="s">
        <v>2657</v>
      </c>
      <c r="O164" s="51" t="s">
        <v>400</v>
      </c>
      <c r="P164" s="51" t="s">
        <v>575</v>
      </c>
      <c r="Q164" s="51" t="s">
        <v>2658</v>
      </c>
      <c r="R164" s="51" t="s">
        <v>2659</v>
      </c>
      <c r="S164" s="51" t="s">
        <v>1617</v>
      </c>
      <c r="T164" s="51" t="s">
        <v>1619</v>
      </c>
      <c r="U164" s="52">
        <v>0.4166666666666667</v>
      </c>
      <c r="V164" s="52">
        <v>0.9166666666666666</v>
      </c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3" t="s">
        <v>342</v>
      </c>
      <c r="AH164" s="51"/>
      <c r="AI164" s="51"/>
      <c r="AJ164" s="51" t="s">
        <v>357</v>
      </c>
      <c r="AK164" s="50" t="str">
        <f>IFERROR(__xludf.DUMMYFUNCTION("""COMPUTED_VALUE"""),"49961545000900")</f>
        <v>49961545000900</v>
      </c>
    </row>
    <row r="165" ht="15.75" customHeight="1">
      <c r="A165" s="41">
        <v>363.0</v>
      </c>
      <c r="B165" s="41" t="s">
        <v>2249</v>
      </c>
      <c r="C165" s="41" t="s">
        <v>2152</v>
      </c>
      <c r="D165" s="41" t="s">
        <v>1626</v>
      </c>
      <c r="E165" s="41" t="s">
        <v>252</v>
      </c>
      <c r="F165" s="41" t="s">
        <v>2158</v>
      </c>
      <c r="G165" s="41" t="s">
        <v>249</v>
      </c>
      <c r="H165" s="42" t="s">
        <v>2251</v>
      </c>
      <c r="I165" s="42" t="s">
        <v>1623</v>
      </c>
      <c r="J165" s="42" t="s">
        <v>1622</v>
      </c>
      <c r="K165" s="42" t="s">
        <v>2250</v>
      </c>
      <c r="L165" s="42" t="s">
        <v>2230</v>
      </c>
      <c r="M165" s="42" t="s">
        <v>240</v>
      </c>
      <c r="N165" s="42" t="s">
        <v>2660</v>
      </c>
      <c r="O165" s="42" t="s">
        <v>419</v>
      </c>
      <c r="P165" s="42" t="s">
        <v>575</v>
      </c>
      <c r="Q165" s="43" t="s">
        <v>2661</v>
      </c>
      <c r="R165" s="43" t="s">
        <v>2662</v>
      </c>
      <c r="S165" s="43" t="s">
        <v>1628</v>
      </c>
      <c r="T165" s="43" t="s">
        <v>1629</v>
      </c>
      <c r="U165" s="45">
        <v>0.4166666666666667</v>
      </c>
      <c r="V165" s="45">
        <v>0.9166666666666666</v>
      </c>
      <c r="W165" s="46"/>
      <c r="X165" s="46"/>
      <c r="Y165" s="46"/>
      <c r="Z165" s="46"/>
      <c r="AA165" s="46"/>
      <c r="AB165" s="46"/>
      <c r="AC165" s="46"/>
      <c r="AD165" s="47"/>
      <c r="AE165" s="47"/>
      <c r="AF165" s="47"/>
      <c r="AG165" s="48" t="s">
        <v>342</v>
      </c>
      <c r="AH165" s="47"/>
      <c r="AI165" s="49"/>
      <c r="AJ165" s="49" t="s">
        <v>357</v>
      </c>
      <c r="AK165" s="50" t="str">
        <f>IFERROR(__xludf.DUMMYFUNCTION("""COMPUTED_VALUE"""),"49961545006437")</f>
        <v>49961545006437</v>
      </c>
    </row>
    <row r="166" ht="15.75" customHeight="1">
      <c r="A166" s="51">
        <v>364.0</v>
      </c>
      <c r="B166" s="51" t="s">
        <v>1630</v>
      </c>
      <c r="C166" s="51" t="s">
        <v>2152</v>
      </c>
      <c r="D166" s="51" t="s">
        <v>1634</v>
      </c>
      <c r="E166" s="51" t="s">
        <v>252</v>
      </c>
      <c r="F166" s="51" t="s">
        <v>2158</v>
      </c>
      <c r="G166" s="51" t="s">
        <v>249</v>
      </c>
      <c r="H166" s="51" t="s">
        <v>2253</v>
      </c>
      <c r="I166" s="51">
        <v>8000.0</v>
      </c>
      <c r="J166" s="51" t="s">
        <v>1631</v>
      </c>
      <c r="K166" s="51" t="s">
        <v>2252</v>
      </c>
      <c r="L166" s="51" t="s">
        <v>2155</v>
      </c>
      <c r="M166" s="51" t="s">
        <v>226</v>
      </c>
      <c r="N166" s="51" t="s">
        <v>2663</v>
      </c>
      <c r="O166" s="51" t="s">
        <v>375</v>
      </c>
      <c r="P166" s="51" t="s">
        <v>575</v>
      </c>
      <c r="Q166" s="51" t="s">
        <v>2664</v>
      </c>
      <c r="R166" s="51" t="s">
        <v>2665</v>
      </c>
      <c r="S166" s="51" t="s">
        <v>1637</v>
      </c>
      <c r="T166" s="51" t="s">
        <v>1638</v>
      </c>
      <c r="U166" s="52">
        <v>0.4166666666666667</v>
      </c>
      <c r="V166" s="52">
        <v>0.9166666666666666</v>
      </c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3" t="s">
        <v>342</v>
      </c>
      <c r="AH166" s="51"/>
      <c r="AI166" s="51"/>
      <c r="AJ166" s="51" t="s">
        <v>357</v>
      </c>
      <c r="AK166" s="50" t="str">
        <f>IFERROR(__xludf.DUMMYFUNCTION("""COMPUTED_VALUE"""),"49961545003500")</f>
        <v>49961545003500</v>
      </c>
    </row>
    <row r="167" ht="15.75" customHeight="1">
      <c r="A167" s="41">
        <v>365.0</v>
      </c>
      <c r="B167" s="41" t="s">
        <v>2255</v>
      </c>
      <c r="C167" s="41" t="s">
        <v>2152</v>
      </c>
      <c r="D167" s="41" t="s">
        <v>2666</v>
      </c>
      <c r="E167" s="41" t="s">
        <v>857</v>
      </c>
      <c r="F167" s="41" t="s">
        <v>2158</v>
      </c>
      <c r="G167" s="41" t="s">
        <v>249</v>
      </c>
      <c r="H167" s="42" t="s">
        <v>2208</v>
      </c>
      <c r="I167" s="42">
        <v>5200.0</v>
      </c>
      <c r="J167" s="42"/>
      <c r="K167" s="42" t="s">
        <v>2207</v>
      </c>
      <c r="L167" s="42" t="s">
        <v>2155</v>
      </c>
      <c r="M167" s="42" t="s">
        <v>226</v>
      </c>
      <c r="N167" s="42" t="s">
        <v>2620</v>
      </c>
      <c r="O167" s="42" t="s">
        <v>400</v>
      </c>
      <c r="P167" s="42" t="s">
        <v>575</v>
      </c>
      <c r="Q167" s="43"/>
      <c r="R167" s="43"/>
      <c r="S167" s="43"/>
      <c r="T167" s="43"/>
      <c r="U167" s="66">
        <v>0.4166666666666667</v>
      </c>
      <c r="V167" s="66">
        <v>0.9166666666666666</v>
      </c>
      <c r="W167" s="46"/>
      <c r="X167" s="46"/>
      <c r="Y167" s="46"/>
      <c r="Z167" s="46"/>
      <c r="AA167" s="46"/>
      <c r="AB167" s="46"/>
      <c r="AC167" s="46"/>
      <c r="AD167" s="47"/>
      <c r="AE167" s="47"/>
      <c r="AF167" s="47"/>
      <c r="AG167" s="48" t="s">
        <v>342</v>
      </c>
      <c r="AH167" s="47"/>
      <c r="AI167" s="49"/>
      <c r="AJ167" s="49"/>
      <c r="AK167" s="50" t="str">
        <f>IFERROR(__xludf.DUMMYFUNCTION("""COMPUTED_VALUE"""),"49961545002105")</f>
        <v>49961545002105</v>
      </c>
    </row>
    <row r="168" ht="15.75" customHeight="1">
      <c r="A168" s="51">
        <v>367.0</v>
      </c>
      <c r="B168" s="51" t="s">
        <v>2258</v>
      </c>
      <c r="C168" s="51" t="s">
        <v>2152</v>
      </c>
      <c r="D168" s="51" t="s">
        <v>1646</v>
      </c>
      <c r="E168" s="51" t="s">
        <v>252</v>
      </c>
      <c r="F168" s="51" t="s">
        <v>2158</v>
      </c>
      <c r="G168" s="51" t="s">
        <v>249</v>
      </c>
      <c r="H168" s="51" t="s">
        <v>2198</v>
      </c>
      <c r="I168" s="51">
        <v>2611.0</v>
      </c>
      <c r="J168" s="51" t="s">
        <v>1642</v>
      </c>
      <c r="K168" s="51" t="s">
        <v>2259</v>
      </c>
      <c r="L168" s="51" t="s">
        <v>2155</v>
      </c>
      <c r="M168" s="51" t="s">
        <v>226</v>
      </c>
      <c r="N168" s="51" t="s">
        <v>2667</v>
      </c>
      <c r="O168" s="51" t="s">
        <v>375</v>
      </c>
      <c r="P168" s="51" t="s">
        <v>575</v>
      </c>
      <c r="Q168" s="51" t="s">
        <v>2668</v>
      </c>
      <c r="R168" s="51" t="s">
        <v>2669</v>
      </c>
      <c r="S168" s="51" t="s">
        <v>1647</v>
      </c>
      <c r="T168" s="51" t="s">
        <v>1648</v>
      </c>
      <c r="U168" s="52">
        <v>0.375</v>
      </c>
      <c r="V168" s="52">
        <v>0.9166666666666666</v>
      </c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3" t="s">
        <v>342</v>
      </c>
      <c r="AH168" s="51"/>
      <c r="AI168" s="51"/>
      <c r="AJ168" s="51" t="s">
        <v>357</v>
      </c>
      <c r="AK168" s="50" t="str">
        <f>IFERROR(__xludf.DUMMYFUNCTION("""COMPUTED_VALUE"""),"49961545005627")</f>
        <v>49961545005627</v>
      </c>
    </row>
    <row r="169" ht="15.75" customHeight="1">
      <c r="A169" s="41">
        <v>378.0</v>
      </c>
      <c r="B169" s="41" t="s">
        <v>2260</v>
      </c>
      <c r="C169" s="41" t="s">
        <v>2152</v>
      </c>
      <c r="D169" s="41" t="s">
        <v>1655</v>
      </c>
      <c r="E169" s="41" t="s">
        <v>252</v>
      </c>
      <c r="F169" s="41" t="s">
        <v>2158</v>
      </c>
      <c r="G169" s="41" t="s">
        <v>249</v>
      </c>
      <c r="H169" s="42" t="s">
        <v>2263</v>
      </c>
      <c r="I169" s="42">
        <v>1526.0</v>
      </c>
      <c r="J169" s="42" t="s">
        <v>1651</v>
      </c>
      <c r="K169" s="42" t="s">
        <v>2262</v>
      </c>
      <c r="L169" s="42" t="s">
        <v>2261</v>
      </c>
      <c r="M169" s="42" t="s">
        <v>226</v>
      </c>
      <c r="N169" s="42" t="s">
        <v>2670</v>
      </c>
      <c r="O169" s="42" t="s">
        <v>375</v>
      </c>
      <c r="P169" s="42" t="s">
        <v>575</v>
      </c>
      <c r="Q169" s="43" t="s">
        <v>2671</v>
      </c>
      <c r="R169" s="43" t="s">
        <v>2672</v>
      </c>
      <c r="S169" s="43" t="s">
        <v>1657</v>
      </c>
      <c r="T169" s="43"/>
      <c r="U169" s="45">
        <v>0.4166666666666667</v>
      </c>
      <c r="V169" s="45">
        <v>0.9166666666666666</v>
      </c>
      <c r="W169" s="46"/>
      <c r="X169" s="46"/>
      <c r="Y169" s="46"/>
      <c r="Z169" s="46"/>
      <c r="AA169" s="46"/>
      <c r="AB169" s="46"/>
      <c r="AC169" s="46"/>
      <c r="AD169" s="47"/>
      <c r="AE169" s="47"/>
      <c r="AF169" s="47"/>
      <c r="AG169" s="48" t="s">
        <v>342</v>
      </c>
      <c r="AH169" s="47"/>
      <c r="AI169" s="49"/>
      <c r="AJ169" s="49" t="s">
        <v>357</v>
      </c>
      <c r="AK169" s="50" t="str">
        <f>IFERROR(__xludf.DUMMYFUNCTION("""COMPUTED_VALUE"""),"49961545000587")</f>
        <v>49961545000587</v>
      </c>
    </row>
    <row r="170" ht="15.75" customHeight="1">
      <c r="A170" s="51">
        <v>382.0</v>
      </c>
      <c r="B170" s="51" t="s">
        <v>1659</v>
      </c>
      <c r="C170" s="51" t="s">
        <v>2152</v>
      </c>
      <c r="D170" s="51" t="s">
        <v>1663</v>
      </c>
      <c r="E170" s="51" t="s">
        <v>252</v>
      </c>
      <c r="F170" s="51" t="s">
        <v>2158</v>
      </c>
      <c r="G170" s="51" t="s">
        <v>249</v>
      </c>
      <c r="H170" s="51" t="s">
        <v>2265</v>
      </c>
      <c r="I170" s="51">
        <v>555.0</v>
      </c>
      <c r="J170" s="51" t="s">
        <v>1661</v>
      </c>
      <c r="K170" s="51" t="s">
        <v>2264</v>
      </c>
      <c r="L170" s="51" t="s">
        <v>2184</v>
      </c>
      <c r="M170" s="51" t="s">
        <v>226</v>
      </c>
      <c r="N170" s="51" t="s">
        <v>2673</v>
      </c>
      <c r="O170" s="51" t="s">
        <v>375</v>
      </c>
      <c r="P170" s="51" t="s">
        <v>575</v>
      </c>
      <c r="Q170" s="51" t="s">
        <v>2674</v>
      </c>
      <c r="R170" s="51" t="s">
        <v>2675</v>
      </c>
      <c r="S170" s="51" t="s">
        <v>1664</v>
      </c>
      <c r="T170" s="51" t="s">
        <v>1665</v>
      </c>
      <c r="U170" s="52">
        <v>0.4166666666666667</v>
      </c>
      <c r="V170" s="52">
        <v>0.9166666666666666</v>
      </c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3" t="s">
        <v>342</v>
      </c>
      <c r="AH170" s="51"/>
      <c r="AI170" s="51"/>
      <c r="AJ170" s="51" t="s">
        <v>357</v>
      </c>
      <c r="AK170" s="50" t="str">
        <f>IFERROR(__xludf.DUMMYFUNCTION("""COMPUTED_VALUE"""),"49961545001982")</f>
        <v>49961545001982</v>
      </c>
    </row>
    <row r="171" ht="15.75" customHeight="1">
      <c r="A171" s="41">
        <v>391.0</v>
      </c>
      <c r="B171" s="41" t="s">
        <v>2267</v>
      </c>
      <c r="C171" s="41" t="s">
        <v>2152</v>
      </c>
      <c r="D171" s="41" t="s">
        <v>1673</v>
      </c>
      <c r="E171" s="41" t="s">
        <v>252</v>
      </c>
      <c r="F171" s="41" t="s">
        <v>2158</v>
      </c>
      <c r="G171" s="41" t="s">
        <v>249</v>
      </c>
      <c r="H171" s="42" t="s">
        <v>2270</v>
      </c>
      <c r="I171" s="42">
        <v>1.0</v>
      </c>
      <c r="J171" s="42" t="s">
        <v>1669</v>
      </c>
      <c r="K171" s="42" t="s">
        <v>2269</v>
      </c>
      <c r="L171" s="42" t="s">
        <v>1184</v>
      </c>
      <c r="M171" s="42" t="s">
        <v>240</v>
      </c>
      <c r="N171" s="42" t="s">
        <v>2676</v>
      </c>
      <c r="O171" s="42" t="s">
        <v>419</v>
      </c>
      <c r="P171" s="42" t="s">
        <v>575</v>
      </c>
      <c r="Q171" s="43" t="s">
        <v>2677</v>
      </c>
      <c r="R171" s="43" t="s">
        <v>2678</v>
      </c>
      <c r="S171" s="43" t="s">
        <v>1676</v>
      </c>
      <c r="T171" s="43" t="s">
        <v>1678</v>
      </c>
      <c r="U171" s="45">
        <v>0.4166666666666667</v>
      </c>
      <c r="V171" s="45">
        <v>0.9166666666666666</v>
      </c>
      <c r="W171" s="46"/>
      <c r="X171" s="46"/>
      <c r="Y171" s="46"/>
      <c r="Z171" s="46"/>
      <c r="AA171" s="46"/>
      <c r="AB171" s="46"/>
      <c r="AC171" s="46"/>
      <c r="AD171" s="47"/>
      <c r="AE171" s="47"/>
      <c r="AF171" s="47"/>
      <c r="AG171" s="48" t="s">
        <v>342</v>
      </c>
      <c r="AH171" s="47"/>
      <c r="AI171" s="49"/>
      <c r="AJ171" s="49" t="s">
        <v>357</v>
      </c>
      <c r="AK171" s="50" t="str">
        <f>IFERROR(__xludf.DUMMYFUNCTION("""COMPUTED_VALUE"""),"49961545006518")</f>
        <v>49961545006518</v>
      </c>
    </row>
    <row r="172" ht="15.75" customHeight="1">
      <c r="A172" s="51">
        <v>399.0</v>
      </c>
      <c r="B172" s="51" t="s">
        <v>2271</v>
      </c>
      <c r="C172" s="51" t="s">
        <v>2243</v>
      </c>
      <c r="D172" s="51" t="s">
        <v>2679</v>
      </c>
      <c r="E172" s="51" t="s">
        <v>252</v>
      </c>
      <c r="F172" s="51" t="s">
        <v>1880</v>
      </c>
      <c r="G172" s="51" t="s">
        <v>124</v>
      </c>
      <c r="H172" s="51" t="s">
        <v>2273</v>
      </c>
      <c r="I172" s="51">
        <v>2601.0</v>
      </c>
      <c r="J172" s="51"/>
      <c r="K172" s="51" t="s">
        <v>2169</v>
      </c>
      <c r="L172" s="51" t="s">
        <v>1534</v>
      </c>
      <c r="M172" s="51" t="s">
        <v>226</v>
      </c>
      <c r="N172" s="51" t="s">
        <v>2485</v>
      </c>
      <c r="O172" s="51"/>
      <c r="P172" s="51"/>
      <c r="Q172" s="51"/>
      <c r="R172" s="51"/>
      <c r="S172" s="51"/>
      <c r="T172" s="51"/>
      <c r="U172" s="52"/>
      <c r="V172" s="52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3" t="s">
        <v>342</v>
      </c>
      <c r="AH172" s="51"/>
      <c r="AI172" s="51"/>
      <c r="AJ172" s="51"/>
      <c r="AK172" s="50" t="str">
        <f>IFERROR(__xludf.DUMMYFUNCTION("""COMPUTED_VALUE"""),"49961545006780")</f>
        <v>49961545006780</v>
      </c>
    </row>
    <row r="173" ht="15.75" customHeight="1">
      <c r="A173" s="41">
        <v>404.0</v>
      </c>
      <c r="B173" s="41" t="s">
        <v>1681</v>
      </c>
      <c r="C173" s="41" t="s">
        <v>2152</v>
      </c>
      <c r="D173" s="41" t="s">
        <v>1684</v>
      </c>
      <c r="E173" s="41" t="s">
        <v>252</v>
      </c>
      <c r="F173" s="41" t="s">
        <v>2275</v>
      </c>
      <c r="G173" s="41" t="s">
        <v>249</v>
      </c>
      <c r="H173" s="42" t="s">
        <v>2157</v>
      </c>
      <c r="I173" s="42">
        <v>1342.0</v>
      </c>
      <c r="J173" s="42" t="s">
        <v>1682</v>
      </c>
      <c r="K173" s="42" t="s">
        <v>2156</v>
      </c>
      <c r="L173" s="42" t="s">
        <v>2155</v>
      </c>
      <c r="M173" s="42" t="s">
        <v>226</v>
      </c>
      <c r="N173" s="42" t="s">
        <v>2460</v>
      </c>
      <c r="O173" s="42" t="s">
        <v>477</v>
      </c>
      <c r="P173" s="42" t="s">
        <v>575</v>
      </c>
      <c r="Q173" s="43" t="s">
        <v>2680</v>
      </c>
      <c r="R173" s="43" t="s">
        <v>2681</v>
      </c>
      <c r="S173" s="43" t="s">
        <v>1688</v>
      </c>
      <c r="T173" s="43" t="s">
        <v>1689</v>
      </c>
      <c r="U173" s="45">
        <v>0.375</v>
      </c>
      <c r="V173" s="45">
        <v>0.7916666666666666</v>
      </c>
      <c r="W173" s="46"/>
      <c r="X173" s="46"/>
      <c r="Y173" s="46"/>
      <c r="Z173" s="46"/>
      <c r="AA173" s="46"/>
      <c r="AB173" s="46"/>
      <c r="AC173" s="46"/>
      <c r="AD173" s="47"/>
      <c r="AE173" s="47"/>
      <c r="AF173" s="47"/>
      <c r="AG173" s="48" t="s">
        <v>427</v>
      </c>
      <c r="AH173" s="47"/>
      <c r="AI173" s="49"/>
      <c r="AJ173" s="49" t="s">
        <v>357</v>
      </c>
      <c r="AK173" s="50" t="str">
        <f>IFERROR(__xludf.DUMMYFUNCTION("""COMPUTED_VALUE"""),"49961545004302")</f>
        <v>49961545004302</v>
      </c>
    </row>
    <row r="174" ht="15.75" customHeight="1">
      <c r="A174" s="51">
        <v>411.0</v>
      </c>
      <c r="B174" s="51" t="s">
        <v>2277</v>
      </c>
      <c r="C174" s="51" t="s">
        <v>2152</v>
      </c>
      <c r="D174" s="51" t="s">
        <v>1697</v>
      </c>
      <c r="E174" s="51" t="s">
        <v>252</v>
      </c>
      <c r="F174" s="51" t="s">
        <v>2275</v>
      </c>
      <c r="G174" s="51" t="s">
        <v>249</v>
      </c>
      <c r="H174" s="51" t="s">
        <v>2279</v>
      </c>
      <c r="I174" s="51">
        <v>101.0</v>
      </c>
      <c r="J174" s="51" t="s">
        <v>1693</v>
      </c>
      <c r="K174" s="51" t="s">
        <v>39</v>
      </c>
      <c r="L174" s="51" t="s">
        <v>2278</v>
      </c>
      <c r="M174" s="51" t="s">
        <v>226</v>
      </c>
      <c r="N174" s="51" t="s">
        <v>2682</v>
      </c>
      <c r="O174" s="51" t="s">
        <v>375</v>
      </c>
      <c r="P174" s="51" t="s">
        <v>575</v>
      </c>
      <c r="Q174" s="51" t="s">
        <v>2683</v>
      </c>
      <c r="R174" s="51" t="s">
        <v>2684</v>
      </c>
      <c r="S174" s="51" t="s">
        <v>1699</v>
      </c>
      <c r="T174" s="51" t="s">
        <v>1700</v>
      </c>
      <c r="U174" s="52">
        <v>0.375</v>
      </c>
      <c r="V174" s="52">
        <v>0.7916666666666666</v>
      </c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3" t="s">
        <v>342</v>
      </c>
      <c r="AH174" s="51"/>
      <c r="AI174" s="51"/>
      <c r="AJ174" s="51" t="s">
        <v>357</v>
      </c>
      <c r="AK174" s="50" t="str">
        <f>IFERROR(__xludf.DUMMYFUNCTION("""COMPUTED_VALUE"""),"49961545004060")</f>
        <v>49961545004060</v>
      </c>
    </row>
    <row r="175" ht="15.75" customHeight="1">
      <c r="A175" s="41">
        <v>413.0</v>
      </c>
      <c r="B175" s="41" t="s">
        <v>2280</v>
      </c>
      <c r="C175" s="41" t="s">
        <v>2152</v>
      </c>
      <c r="D175" s="41" t="s">
        <v>1705</v>
      </c>
      <c r="E175" s="41" t="s">
        <v>252</v>
      </c>
      <c r="F175" s="41" t="s">
        <v>2275</v>
      </c>
      <c r="G175" s="41" t="s">
        <v>249</v>
      </c>
      <c r="H175" s="42" t="s">
        <v>2283</v>
      </c>
      <c r="I175" s="42">
        <v>143.0</v>
      </c>
      <c r="J175" s="42" t="s">
        <v>1703</v>
      </c>
      <c r="K175" s="42" t="s">
        <v>2156</v>
      </c>
      <c r="L175" s="42" t="s">
        <v>2155</v>
      </c>
      <c r="M175" s="42" t="s">
        <v>226</v>
      </c>
      <c r="N175" s="42" t="s">
        <v>2685</v>
      </c>
      <c r="O175" s="42" t="s">
        <v>477</v>
      </c>
      <c r="P175" s="42" t="s">
        <v>575</v>
      </c>
      <c r="Q175" s="43" t="s">
        <v>2686</v>
      </c>
      <c r="R175" s="43" t="s">
        <v>2687</v>
      </c>
      <c r="S175" s="43" t="s">
        <v>1708</v>
      </c>
      <c r="T175" s="43" t="s">
        <v>1710</v>
      </c>
      <c r="U175" s="45">
        <v>0.375</v>
      </c>
      <c r="V175" s="45">
        <v>0.7916666666666666</v>
      </c>
      <c r="W175" s="46"/>
      <c r="X175" s="46"/>
      <c r="Y175" s="46"/>
      <c r="Z175" s="46"/>
      <c r="AA175" s="46"/>
      <c r="AB175" s="46"/>
      <c r="AC175" s="46"/>
      <c r="AD175" s="47"/>
      <c r="AE175" s="47"/>
      <c r="AF175" s="47"/>
      <c r="AG175" s="48" t="s">
        <v>342</v>
      </c>
      <c r="AH175" s="47"/>
      <c r="AI175" s="49"/>
      <c r="AJ175" s="49" t="s">
        <v>357</v>
      </c>
      <c r="AK175" s="50" t="str">
        <f>IFERROR(__xludf.DUMMYFUNCTION("""COMPUTED_VALUE"""),"49961545005384")</f>
        <v>49961545005384</v>
      </c>
    </row>
    <row r="176" ht="15.75" customHeight="1">
      <c r="A176" s="51">
        <v>414.0</v>
      </c>
      <c r="B176" s="51" t="s">
        <v>2285</v>
      </c>
      <c r="C176" s="51" t="s">
        <v>2152</v>
      </c>
      <c r="D176" s="51" t="s">
        <v>1715</v>
      </c>
      <c r="E176" s="51" t="s">
        <v>252</v>
      </c>
      <c r="F176" s="51" t="s">
        <v>2275</v>
      </c>
      <c r="G176" s="51" t="s">
        <v>249</v>
      </c>
      <c r="H176" s="51" t="s">
        <v>2183</v>
      </c>
      <c r="I176" s="51">
        <v>1077.0</v>
      </c>
      <c r="J176" s="51" t="s">
        <v>1713</v>
      </c>
      <c r="K176" s="51" t="s">
        <v>2286</v>
      </c>
      <c r="L176" s="51" t="s">
        <v>2181</v>
      </c>
      <c r="M176" s="51" t="s">
        <v>226</v>
      </c>
      <c r="N176" s="51" t="s">
        <v>2688</v>
      </c>
      <c r="O176" s="51" t="s">
        <v>477</v>
      </c>
      <c r="P176" s="51" t="s">
        <v>575</v>
      </c>
      <c r="Q176" s="51" t="s">
        <v>2689</v>
      </c>
      <c r="R176" s="51" t="s">
        <v>2690</v>
      </c>
      <c r="S176" s="51" t="s">
        <v>1717</v>
      </c>
      <c r="T176" s="51" t="s">
        <v>1718</v>
      </c>
      <c r="U176" s="52">
        <v>0.375</v>
      </c>
      <c r="V176" s="52">
        <v>0.7916666666666666</v>
      </c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3" t="s">
        <v>342</v>
      </c>
      <c r="AH176" s="51"/>
      <c r="AI176" s="51"/>
      <c r="AJ176" s="51" t="s">
        <v>357</v>
      </c>
      <c r="AK176" s="50" t="str">
        <f>IFERROR(__xludf.DUMMYFUNCTION("""COMPUTED_VALUE"""),"49961545004140")</f>
        <v>49961545004140</v>
      </c>
    </row>
    <row r="177" ht="15.75" customHeight="1">
      <c r="A177" s="41">
        <v>415.0</v>
      </c>
      <c r="B177" s="41" t="s">
        <v>2287</v>
      </c>
      <c r="C177" s="41" t="s">
        <v>2152</v>
      </c>
      <c r="D177" s="41" t="s">
        <v>1724</v>
      </c>
      <c r="E177" s="41" t="s">
        <v>252</v>
      </c>
      <c r="F177" s="41" t="s">
        <v>2275</v>
      </c>
      <c r="G177" s="41" t="s">
        <v>249</v>
      </c>
      <c r="H177" s="42" t="s">
        <v>2291</v>
      </c>
      <c r="I177" s="42">
        <v>855.0</v>
      </c>
      <c r="J177" s="42" t="s">
        <v>1721</v>
      </c>
      <c r="K177" s="42" t="s">
        <v>2290</v>
      </c>
      <c r="L177" s="42" t="s">
        <v>2155</v>
      </c>
      <c r="M177" s="42" t="s">
        <v>226</v>
      </c>
      <c r="N177" s="42" t="s">
        <v>2691</v>
      </c>
      <c r="O177" s="42" t="s">
        <v>477</v>
      </c>
      <c r="P177" s="42" t="s">
        <v>575</v>
      </c>
      <c r="Q177" s="43" t="s">
        <v>2692</v>
      </c>
      <c r="R177" s="43" t="s">
        <v>2693</v>
      </c>
      <c r="S177" s="43" t="s">
        <v>1728</v>
      </c>
      <c r="T177" s="43" t="s">
        <v>1729</v>
      </c>
      <c r="U177" s="45">
        <v>0.375</v>
      </c>
      <c r="V177" s="45">
        <v>0.7916666666666666</v>
      </c>
      <c r="W177" s="46"/>
      <c r="X177" s="46"/>
      <c r="Y177" s="46"/>
      <c r="Z177" s="46"/>
      <c r="AA177" s="46"/>
      <c r="AB177" s="46"/>
      <c r="AC177" s="46"/>
      <c r="AD177" s="47"/>
      <c r="AE177" s="47"/>
      <c r="AF177" s="47"/>
      <c r="AG177" s="48" t="s">
        <v>342</v>
      </c>
      <c r="AH177" s="47"/>
      <c r="AI177" s="49"/>
      <c r="AJ177" s="49" t="s">
        <v>357</v>
      </c>
      <c r="AK177" s="50" t="str">
        <f>IFERROR(__xludf.DUMMYFUNCTION("""COMPUTED_VALUE"""),"49961545000749")</f>
        <v>49961545000749</v>
      </c>
    </row>
    <row r="178" ht="15.75" customHeight="1">
      <c r="A178" s="51">
        <v>417.0</v>
      </c>
      <c r="B178" s="51" t="s">
        <v>2292</v>
      </c>
      <c r="C178" s="51" t="s">
        <v>2152</v>
      </c>
      <c r="D178" s="51" t="s">
        <v>1733</v>
      </c>
      <c r="E178" s="51" t="s">
        <v>252</v>
      </c>
      <c r="F178" s="51" t="s">
        <v>2275</v>
      </c>
      <c r="G178" s="51" t="s">
        <v>249</v>
      </c>
      <c r="H178" s="51" t="s">
        <v>2185</v>
      </c>
      <c r="I178" s="51">
        <v>1378.0</v>
      </c>
      <c r="J178" s="51" t="s">
        <v>1732</v>
      </c>
      <c r="K178" s="51" t="s">
        <v>39</v>
      </c>
      <c r="L178" s="51" t="s">
        <v>2184</v>
      </c>
      <c r="M178" s="51" t="s">
        <v>226</v>
      </c>
      <c r="N178" s="51" t="s">
        <v>2539</v>
      </c>
      <c r="O178" s="51" t="s">
        <v>477</v>
      </c>
      <c r="P178" s="51" t="s">
        <v>575</v>
      </c>
      <c r="Q178" s="51" t="s">
        <v>2694</v>
      </c>
      <c r="R178" s="51" t="s">
        <v>2695</v>
      </c>
      <c r="S178" s="51" t="s">
        <v>1734</v>
      </c>
      <c r="T178" s="51" t="s">
        <v>1735</v>
      </c>
      <c r="U178" s="52">
        <v>0.375</v>
      </c>
      <c r="V178" s="52">
        <v>0.7916666666666666</v>
      </c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3" t="s">
        <v>342</v>
      </c>
      <c r="AH178" s="51"/>
      <c r="AI178" s="51"/>
      <c r="AJ178" s="51" t="s">
        <v>357</v>
      </c>
      <c r="AK178" s="50" t="str">
        <f>IFERROR(__xludf.DUMMYFUNCTION("""COMPUTED_VALUE"""),"49961545003098")</f>
        <v>49961545003098</v>
      </c>
    </row>
    <row r="179" ht="15.75" customHeight="1">
      <c r="A179" s="41">
        <v>419.0</v>
      </c>
      <c r="B179" s="41" t="s">
        <v>1736</v>
      </c>
      <c r="C179" s="41" t="s">
        <v>2152</v>
      </c>
      <c r="D179" s="41" t="s">
        <v>1741</v>
      </c>
      <c r="E179" s="41" t="s">
        <v>252</v>
      </c>
      <c r="F179" s="41" t="s">
        <v>2275</v>
      </c>
      <c r="G179" s="41" t="s">
        <v>249</v>
      </c>
      <c r="H179" s="42" t="s">
        <v>2175</v>
      </c>
      <c r="I179" s="42">
        <v>1800.0</v>
      </c>
      <c r="J179" s="42" t="s">
        <v>1737</v>
      </c>
      <c r="K179" s="42" t="s">
        <v>2174</v>
      </c>
      <c r="L179" s="42" t="s">
        <v>2155</v>
      </c>
      <c r="M179" s="42" t="s">
        <v>226</v>
      </c>
      <c r="N179" s="42" t="s">
        <v>2506</v>
      </c>
      <c r="O179" s="42" t="s">
        <v>477</v>
      </c>
      <c r="P179" s="42" t="s">
        <v>575</v>
      </c>
      <c r="Q179" s="43" t="s">
        <v>2696</v>
      </c>
      <c r="R179" s="43" t="s">
        <v>2697</v>
      </c>
      <c r="S179" s="43" t="s">
        <v>1744</v>
      </c>
      <c r="T179" s="43" t="s">
        <v>1745</v>
      </c>
      <c r="U179" s="45">
        <v>0.4166666666666667</v>
      </c>
      <c r="V179" s="45">
        <v>0.9166666666666666</v>
      </c>
      <c r="W179" s="46"/>
      <c r="X179" s="46"/>
      <c r="Y179" s="46"/>
      <c r="Z179" s="46"/>
      <c r="AA179" s="46"/>
      <c r="AB179" s="46"/>
      <c r="AC179" s="46"/>
      <c r="AD179" s="47"/>
      <c r="AE179" s="47"/>
      <c r="AF179" s="47"/>
      <c r="AG179" s="48" t="s">
        <v>342</v>
      </c>
      <c r="AH179" s="47"/>
      <c r="AI179" s="49"/>
      <c r="AJ179" s="49" t="s">
        <v>357</v>
      </c>
      <c r="AK179" s="50" t="str">
        <f>IFERROR(__xludf.DUMMYFUNCTION("""COMPUTED_VALUE"""),"49961545002792")</f>
        <v>49961545002792</v>
      </c>
    </row>
    <row r="180" ht="15.75" customHeight="1">
      <c r="A180" s="51">
        <v>421.0</v>
      </c>
      <c r="B180" s="51" t="s">
        <v>1750</v>
      </c>
      <c r="C180" s="51" t="s">
        <v>2152</v>
      </c>
      <c r="D180" s="51" t="s">
        <v>1752</v>
      </c>
      <c r="E180" s="51" t="s">
        <v>252</v>
      </c>
      <c r="F180" s="51" t="s">
        <v>2275</v>
      </c>
      <c r="G180" s="51" t="s">
        <v>249</v>
      </c>
      <c r="H180" s="51" t="s">
        <v>2204</v>
      </c>
      <c r="I180" s="51">
        <v>6750.0</v>
      </c>
      <c r="J180" s="51" t="s">
        <v>1751</v>
      </c>
      <c r="K180" s="51" t="s">
        <v>2203</v>
      </c>
      <c r="L180" s="51" t="s">
        <v>1534</v>
      </c>
      <c r="M180" s="51" t="s">
        <v>226</v>
      </c>
      <c r="N180" s="51" t="s">
        <v>2616</v>
      </c>
      <c r="O180" s="51" t="s">
        <v>477</v>
      </c>
      <c r="P180" s="51" t="s">
        <v>575</v>
      </c>
      <c r="Q180" s="51" t="s">
        <v>2698</v>
      </c>
      <c r="R180" s="51" t="s">
        <v>2699</v>
      </c>
      <c r="S180" s="51" t="s">
        <v>1753</v>
      </c>
      <c r="T180" s="51" t="s">
        <v>1754</v>
      </c>
      <c r="U180" s="52">
        <v>0.4166666666666667</v>
      </c>
      <c r="V180" s="52">
        <v>0.9166666666666666</v>
      </c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3" t="s">
        <v>342</v>
      </c>
      <c r="AH180" s="51"/>
      <c r="AI180" s="51"/>
      <c r="AJ180" s="51" t="s">
        <v>357</v>
      </c>
      <c r="AK180" s="50" t="str">
        <f>IFERROR(__xludf.DUMMYFUNCTION("""COMPUTED_VALUE"""),"49961545005708")</f>
        <v>49961545005708</v>
      </c>
    </row>
    <row r="181" ht="15.75" customHeight="1">
      <c r="A181" s="41">
        <v>422.0</v>
      </c>
      <c r="B181" s="41" t="s">
        <v>2295</v>
      </c>
      <c r="C181" s="41" t="s">
        <v>2152</v>
      </c>
      <c r="D181" s="41" t="s">
        <v>1762</v>
      </c>
      <c r="E181" s="41" t="s">
        <v>252</v>
      </c>
      <c r="F181" s="41" t="s">
        <v>2275</v>
      </c>
      <c r="G181" s="41" t="s">
        <v>249</v>
      </c>
      <c r="H181" s="42" t="s">
        <v>2198</v>
      </c>
      <c r="I181" s="42">
        <v>164.0</v>
      </c>
      <c r="J181" s="42" t="s">
        <v>1757</v>
      </c>
      <c r="K181" s="42" t="s">
        <v>2296</v>
      </c>
      <c r="L181" s="42" t="s">
        <v>2155</v>
      </c>
      <c r="M181" s="42" t="s">
        <v>226</v>
      </c>
      <c r="N181" s="42" t="s">
        <v>2700</v>
      </c>
      <c r="O181" s="42" t="s">
        <v>477</v>
      </c>
      <c r="P181" s="42" t="s">
        <v>575</v>
      </c>
      <c r="Q181" s="43" t="s">
        <v>2701</v>
      </c>
      <c r="R181" s="43" t="s">
        <v>2702</v>
      </c>
      <c r="S181" s="43" t="s">
        <v>1763</v>
      </c>
      <c r="T181" s="43" t="s">
        <v>1764</v>
      </c>
      <c r="U181" s="45">
        <v>0.375</v>
      </c>
      <c r="V181" s="45">
        <v>0.9166666666666666</v>
      </c>
      <c r="W181" s="46"/>
      <c r="X181" s="46"/>
      <c r="Y181" s="46"/>
      <c r="Z181" s="46"/>
      <c r="AA181" s="46"/>
      <c r="AB181" s="46"/>
      <c r="AC181" s="46"/>
      <c r="AD181" s="47"/>
      <c r="AE181" s="47"/>
      <c r="AF181" s="47"/>
      <c r="AG181" s="48" t="s">
        <v>342</v>
      </c>
      <c r="AH181" s="47"/>
      <c r="AI181" s="49"/>
      <c r="AJ181" s="49" t="s">
        <v>357</v>
      </c>
      <c r="AK181" s="50" t="str">
        <f>IFERROR(__xludf.DUMMYFUNCTION("""COMPUTED_VALUE"""),"49961545001478")</f>
        <v>49961545001478</v>
      </c>
    </row>
    <row r="182" ht="15.75" customHeight="1">
      <c r="A182" s="51">
        <v>423.0</v>
      </c>
      <c r="B182" s="51" t="s">
        <v>1766</v>
      </c>
      <c r="C182" s="51" t="s">
        <v>2152</v>
      </c>
      <c r="D182" s="51" t="s">
        <v>1771</v>
      </c>
      <c r="E182" s="51" t="s">
        <v>252</v>
      </c>
      <c r="F182" s="51" t="s">
        <v>2275</v>
      </c>
      <c r="G182" s="51" t="s">
        <v>249</v>
      </c>
      <c r="H182" s="51" t="s">
        <v>2198</v>
      </c>
      <c r="I182" s="51">
        <v>2312.0</v>
      </c>
      <c r="J182" s="51" t="s">
        <v>1768</v>
      </c>
      <c r="K182" s="51" t="s">
        <v>2259</v>
      </c>
      <c r="L182" s="51" t="s">
        <v>2155</v>
      </c>
      <c r="M182" s="51" t="s">
        <v>226</v>
      </c>
      <c r="N182" s="51" t="s">
        <v>2667</v>
      </c>
      <c r="O182" s="51" t="s">
        <v>477</v>
      </c>
      <c r="P182" s="51" t="s">
        <v>575</v>
      </c>
      <c r="Q182" s="51" t="s">
        <v>2703</v>
      </c>
      <c r="R182" s="51" t="s">
        <v>2704</v>
      </c>
      <c r="S182" s="51" t="s">
        <v>1773</v>
      </c>
      <c r="T182" s="51" t="s">
        <v>1774</v>
      </c>
      <c r="U182" s="52">
        <v>0.375</v>
      </c>
      <c r="V182" s="52">
        <v>0.7916666666666666</v>
      </c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3" t="s">
        <v>342</v>
      </c>
      <c r="AH182" s="51"/>
      <c r="AI182" s="51"/>
      <c r="AJ182" s="51" t="s">
        <v>357</v>
      </c>
      <c r="AK182" s="50" t="str">
        <f>IFERROR(__xludf.DUMMYFUNCTION("""COMPUTED_VALUE"""),"49961545002440")</f>
        <v>49961545002440</v>
      </c>
    </row>
    <row r="183" ht="15.75" customHeight="1">
      <c r="A183" s="41">
        <v>424.0</v>
      </c>
      <c r="B183" s="41" t="s">
        <v>2300</v>
      </c>
      <c r="C183" s="41" t="s">
        <v>2152</v>
      </c>
      <c r="D183" s="41" t="s">
        <v>1781</v>
      </c>
      <c r="E183" s="41" t="s">
        <v>252</v>
      </c>
      <c r="F183" s="41" t="s">
        <v>2275</v>
      </c>
      <c r="G183" s="41" t="s">
        <v>249</v>
      </c>
      <c r="H183" s="42" t="s">
        <v>2304</v>
      </c>
      <c r="I183" s="42">
        <v>2030.0</v>
      </c>
      <c r="J183" s="42" t="s">
        <v>1777</v>
      </c>
      <c r="K183" s="42" t="s">
        <v>2090</v>
      </c>
      <c r="L183" s="42" t="s">
        <v>2302</v>
      </c>
      <c r="M183" s="42" t="s">
        <v>226</v>
      </c>
      <c r="N183" s="42" t="s">
        <v>2705</v>
      </c>
      <c r="O183" s="42" t="s">
        <v>477</v>
      </c>
      <c r="P183" s="42" t="s">
        <v>575</v>
      </c>
      <c r="Q183" s="43" t="s">
        <v>2706</v>
      </c>
      <c r="R183" s="43" t="s">
        <v>2707</v>
      </c>
      <c r="S183" s="43" t="s">
        <v>1783</v>
      </c>
      <c r="T183" s="43" t="s">
        <v>1784</v>
      </c>
      <c r="U183" s="45">
        <v>0.375</v>
      </c>
      <c r="V183" s="45">
        <v>0.7916666666666666</v>
      </c>
      <c r="W183" s="46"/>
      <c r="X183" s="46"/>
      <c r="Y183" s="46"/>
      <c r="Z183" s="46"/>
      <c r="AA183" s="46"/>
      <c r="AB183" s="46"/>
      <c r="AC183" s="46"/>
      <c r="AD183" s="47"/>
      <c r="AE183" s="47"/>
      <c r="AF183" s="47"/>
      <c r="AG183" s="48" t="s">
        <v>342</v>
      </c>
      <c r="AH183" s="47"/>
      <c r="AI183" s="49"/>
      <c r="AJ183" s="49" t="s">
        <v>357</v>
      </c>
      <c r="AK183" s="50" t="str">
        <f>IFERROR(__xludf.DUMMYFUNCTION("""COMPUTED_VALUE"""),"49961545005899")</f>
        <v>49961545005899</v>
      </c>
    </row>
    <row r="184" ht="15.75" customHeight="1">
      <c r="A184" s="51">
        <v>426.0</v>
      </c>
      <c r="B184" s="51" t="s">
        <v>1785</v>
      </c>
      <c r="C184" s="51" t="s">
        <v>2152</v>
      </c>
      <c r="D184" s="51" t="s">
        <v>1792</v>
      </c>
      <c r="E184" s="51" t="s">
        <v>252</v>
      </c>
      <c r="F184" s="51" t="s">
        <v>2275</v>
      </c>
      <c r="G184" s="51" t="s">
        <v>249</v>
      </c>
      <c r="H184" s="51" t="s">
        <v>2307</v>
      </c>
      <c r="I184" s="51">
        <v>2783.0</v>
      </c>
      <c r="J184" s="51" t="s">
        <v>1788</v>
      </c>
      <c r="K184" s="51" t="s">
        <v>2306</v>
      </c>
      <c r="L184" s="51" t="s">
        <v>2155</v>
      </c>
      <c r="M184" s="51" t="s">
        <v>226</v>
      </c>
      <c r="N184" s="51" t="s">
        <v>2708</v>
      </c>
      <c r="O184" s="51" t="s">
        <v>477</v>
      </c>
      <c r="P184" s="51" t="s">
        <v>575</v>
      </c>
      <c r="Q184" s="51" t="s">
        <v>2709</v>
      </c>
      <c r="R184" s="51" t="s">
        <v>2710</v>
      </c>
      <c r="S184" s="51" t="s">
        <v>1795</v>
      </c>
      <c r="T184" s="51" t="s">
        <v>1796</v>
      </c>
      <c r="U184" s="52">
        <v>0.375</v>
      </c>
      <c r="V184" s="52">
        <v>0.7916666666666666</v>
      </c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3" t="s">
        <v>342</v>
      </c>
      <c r="AH184" s="51"/>
      <c r="AI184" s="51"/>
      <c r="AJ184" s="51" t="s">
        <v>357</v>
      </c>
      <c r="AK184" s="50" t="str">
        <f>IFERROR(__xludf.DUMMYFUNCTION("""COMPUTED_VALUE"""),"49961545004221")</f>
        <v>49961545004221</v>
      </c>
    </row>
    <row r="185" ht="15.75" customHeight="1">
      <c r="A185" s="41">
        <v>427.0</v>
      </c>
      <c r="B185" s="41" t="s">
        <v>2308</v>
      </c>
      <c r="C185" s="41" t="s">
        <v>2152</v>
      </c>
      <c r="D185" s="41" t="s">
        <v>1803</v>
      </c>
      <c r="E185" s="41" t="s">
        <v>252</v>
      </c>
      <c r="F185" s="41" t="s">
        <v>2275</v>
      </c>
      <c r="G185" s="41" t="s">
        <v>249</v>
      </c>
      <c r="H185" s="42" t="s">
        <v>2310</v>
      </c>
      <c r="I185" s="42">
        <v>111.0</v>
      </c>
      <c r="J185" s="42" t="s">
        <v>1801</v>
      </c>
      <c r="K185" s="42" t="s">
        <v>2309</v>
      </c>
      <c r="L185" s="42" t="s">
        <v>2155</v>
      </c>
      <c r="M185" s="42" t="s">
        <v>226</v>
      </c>
      <c r="N185" s="42" t="s">
        <v>2711</v>
      </c>
      <c r="O185" s="42" t="s">
        <v>477</v>
      </c>
      <c r="P185" s="42" t="s">
        <v>575</v>
      </c>
      <c r="Q185" s="43" t="s">
        <v>2712</v>
      </c>
      <c r="R185" s="43" t="s">
        <v>2713</v>
      </c>
      <c r="S185" s="43" t="s">
        <v>1805</v>
      </c>
      <c r="T185" s="43" t="s">
        <v>1806</v>
      </c>
      <c r="U185" s="45">
        <v>0.375</v>
      </c>
      <c r="V185" s="45">
        <v>0.9166666666666666</v>
      </c>
      <c r="W185" s="46"/>
      <c r="X185" s="46"/>
      <c r="Y185" s="46"/>
      <c r="Z185" s="46"/>
      <c r="AA185" s="46"/>
      <c r="AB185" s="46"/>
      <c r="AC185" s="46"/>
      <c r="AD185" s="47"/>
      <c r="AE185" s="47"/>
      <c r="AF185" s="47"/>
      <c r="AG185" s="48" t="s">
        <v>427</v>
      </c>
      <c r="AH185" s="47"/>
      <c r="AI185" s="49"/>
      <c r="AJ185" s="49" t="s">
        <v>357</v>
      </c>
      <c r="AK185" s="50" t="str">
        <f>IFERROR(__xludf.DUMMYFUNCTION("""COMPUTED_VALUE"""),"49961545000404")</f>
        <v>49961545000404</v>
      </c>
    </row>
    <row r="186" ht="15.75" customHeight="1">
      <c r="A186" s="51">
        <v>428.0</v>
      </c>
      <c r="B186" s="51" t="s">
        <v>2314</v>
      </c>
      <c r="C186" s="51" t="s">
        <v>2152</v>
      </c>
      <c r="D186" s="51" t="s">
        <v>1811</v>
      </c>
      <c r="E186" s="51" t="s">
        <v>252</v>
      </c>
      <c r="F186" s="51" t="s">
        <v>2275</v>
      </c>
      <c r="G186" s="51" t="s">
        <v>249</v>
      </c>
      <c r="H186" s="51" t="s">
        <v>2316</v>
      </c>
      <c r="I186" s="51">
        <v>2343.0</v>
      </c>
      <c r="J186" s="51" t="s">
        <v>1810</v>
      </c>
      <c r="K186" s="51" t="s">
        <v>2174</v>
      </c>
      <c r="L186" s="51" t="s">
        <v>2155</v>
      </c>
      <c r="M186" s="51" t="s">
        <v>226</v>
      </c>
      <c r="N186" s="51" t="s">
        <v>2714</v>
      </c>
      <c r="O186" s="51" t="s">
        <v>477</v>
      </c>
      <c r="P186" s="51" t="s">
        <v>575</v>
      </c>
      <c r="Q186" s="51" t="s">
        <v>2715</v>
      </c>
      <c r="R186" s="51" t="s">
        <v>2716</v>
      </c>
      <c r="S186" s="51" t="s">
        <v>1814</v>
      </c>
      <c r="T186" s="51" t="s">
        <v>1815</v>
      </c>
      <c r="U186" s="52">
        <v>0.375</v>
      </c>
      <c r="V186" s="52">
        <v>0.875</v>
      </c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3" t="s">
        <v>342</v>
      </c>
      <c r="AH186" s="51"/>
      <c r="AI186" s="51"/>
      <c r="AJ186" s="51" t="s">
        <v>357</v>
      </c>
      <c r="AK186" s="50" t="str">
        <f>IFERROR(__xludf.DUMMYFUNCTION("""COMPUTED_VALUE"""),"49961545004655")</f>
        <v>49961545004655</v>
      </c>
    </row>
    <row r="187" ht="15.75" customHeight="1">
      <c r="A187" s="41">
        <v>430.0</v>
      </c>
      <c r="B187" s="41" t="s">
        <v>2317</v>
      </c>
      <c r="C187" s="41" t="s">
        <v>2152</v>
      </c>
      <c r="D187" s="41" t="s">
        <v>1820</v>
      </c>
      <c r="E187" s="41" t="s">
        <v>252</v>
      </c>
      <c r="F187" s="41" t="s">
        <v>2275</v>
      </c>
      <c r="G187" s="41" t="s">
        <v>249</v>
      </c>
      <c r="H187" s="42" t="s">
        <v>2319</v>
      </c>
      <c r="I187" s="42">
        <v>545.0</v>
      </c>
      <c r="J187" s="42" t="s">
        <v>1818</v>
      </c>
      <c r="K187" s="42" t="s">
        <v>2318</v>
      </c>
      <c r="L187" s="42" t="s">
        <v>2155</v>
      </c>
      <c r="M187" s="42" t="s">
        <v>226</v>
      </c>
      <c r="N187" s="42" t="s">
        <v>2717</v>
      </c>
      <c r="O187" s="42" t="s">
        <v>477</v>
      </c>
      <c r="P187" s="42" t="s">
        <v>575</v>
      </c>
      <c r="Q187" s="43" t="s">
        <v>2718</v>
      </c>
      <c r="R187" s="43" t="s">
        <v>2719</v>
      </c>
      <c r="S187" s="43" t="s">
        <v>1821</v>
      </c>
      <c r="T187" s="43" t="s">
        <v>1822</v>
      </c>
      <c r="U187" s="45">
        <v>0.4166666666666667</v>
      </c>
      <c r="V187" s="45">
        <v>0.9166666666666666</v>
      </c>
      <c r="W187" s="46"/>
      <c r="X187" s="46"/>
      <c r="Y187" s="46"/>
      <c r="Z187" s="46"/>
      <c r="AA187" s="46"/>
      <c r="AB187" s="46"/>
      <c r="AC187" s="46"/>
      <c r="AD187" s="47"/>
      <c r="AE187" s="47"/>
      <c r="AF187" s="47"/>
      <c r="AG187" s="48" t="s">
        <v>342</v>
      </c>
      <c r="AH187" s="47"/>
      <c r="AI187" s="49"/>
      <c r="AJ187" s="49" t="s">
        <v>357</v>
      </c>
      <c r="AK187" s="50" t="str">
        <f>IFERROR(__xludf.DUMMYFUNCTION("""COMPUTED_VALUE"""),"49961545005112")</f>
        <v>49961545005112</v>
      </c>
    </row>
    <row r="188" ht="15.75" customHeight="1">
      <c r="A188" s="51">
        <v>431.0</v>
      </c>
      <c r="B188" s="51" t="s">
        <v>2323</v>
      </c>
      <c r="C188" s="51" t="s">
        <v>2152</v>
      </c>
      <c r="D188" s="51" t="s">
        <v>1826</v>
      </c>
      <c r="E188" s="51" t="s">
        <v>252</v>
      </c>
      <c r="F188" s="51" t="s">
        <v>2275</v>
      </c>
      <c r="G188" s="51" t="s">
        <v>249</v>
      </c>
      <c r="H188" s="51" t="s">
        <v>2103</v>
      </c>
      <c r="I188" s="51">
        <v>282.0</v>
      </c>
      <c r="J188" s="51" t="s">
        <v>1825</v>
      </c>
      <c r="K188" s="51" t="s">
        <v>39</v>
      </c>
      <c r="L188" s="51" t="s">
        <v>1534</v>
      </c>
      <c r="M188" s="51" t="s">
        <v>226</v>
      </c>
      <c r="N188" s="51" t="s">
        <v>2720</v>
      </c>
      <c r="O188" s="51" t="s">
        <v>477</v>
      </c>
      <c r="P188" s="51" t="s">
        <v>575</v>
      </c>
      <c r="Q188" s="51" t="s">
        <v>2721</v>
      </c>
      <c r="R188" s="51" t="s">
        <v>2722</v>
      </c>
      <c r="S188" s="51" t="s">
        <v>1828</v>
      </c>
      <c r="T188" s="51" t="s">
        <v>1829</v>
      </c>
      <c r="U188" s="52">
        <v>0.375</v>
      </c>
      <c r="V188" s="52">
        <v>0.7916666666666666</v>
      </c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3" t="s">
        <v>342</v>
      </c>
      <c r="AH188" s="51"/>
      <c r="AI188" s="51"/>
      <c r="AJ188" s="51" t="s">
        <v>357</v>
      </c>
      <c r="AK188" s="50" t="str">
        <f>IFERROR(__xludf.DUMMYFUNCTION("""COMPUTED_VALUE"""),"49961545004817")</f>
        <v>49961545004817</v>
      </c>
    </row>
    <row r="189" ht="15.75" customHeight="1">
      <c r="A189" s="41">
        <v>432.0</v>
      </c>
      <c r="B189" s="41" t="s">
        <v>2324</v>
      </c>
      <c r="C189" s="41" t="s">
        <v>2152</v>
      </c>
      <c r="D189" s="41" t="s">
        <v>1835</v>
      </c>
      <c r="E189" s="41" t="s">
        <v>252</v>
      </c>
      <c r="F189" s="41" t="s">
        <v>2275</v>
      </c>
      <c r="G189" s="41" t="s">
        <v>249</v>
      </c>
      <c r="H189" s="42" t="s">
        <v>2183</v>
      </c>
      <c r="I189" s="42">
        <v>4001.0</v>
      </c>
      <c r="J189" s="42" t="s">
        <v>1831</v>
      </c>
      <c r="K189" s="42" t="s">
        <v>2328</v>
      </c>
      <c r="L189" s="42" t="s">
        <v>2181</v>
      </c>
      <c r="M189" s="42" t="s">
        <v>226</v>
      </c>
      <c r="N189" s="42" t="s">
        <v>2723</v>
      </c>
      <c r="O189" s="42" t="s">
        <v>477</v>
      </c>
      <c r="P189" s="42" t="s">
        <v>575</v>
      </c>
      <c r="Q189" s="43" t="s">
        <v>2724</v>
      </c>
      <c r="R189" s="43" t="s">
        <v>2725</v>
      </c>
      <c r="S189" s="43" t="s">
        <v>1838</v>
      </c>
      <c r="T189" s="43" t="s">
        <v>1839</v>
      </c>
      <c r="U189" s="45">
        <v>0.4166666666666667</v>
      </c>
      <c r="V189" s="45">
        <v>0.9166666666666666</v>
      </c>
      <c r="W189" s="46"/>
      <c r="X189" s="46"/>
      <c r="Y189" s="46"/>
      <c r="Z189" s="46"/>
      <c r="AA189" s="46"/>
      <c r="AB189" s="46"/>
      <c r="AC189" s="46"/>
      <c r="AD189" s="47"/>
      <c r="AE189" s="47"/>
      <c r="AF189" s="47"/>
      <c r="AG189" s="48" t="s">
        <v>342</v>
      </c>
      <c r="AH189" s="47"/>
      <c r="AI189" s="49"/>
      <c r="AJ189" s="49" t="s">
        <v>357</v>
      </c>
      <c r="AK189" s="50" t="str">
        <f>IFERROR(__xludf.DUMMYFUNCTION("""COMPUTED_VALUE"""),"49961545003845")</f>
        <v>49961545003845</v>
      </c>
    </row>
    <row r="190" ht="15.75" customHeight="1">
      <c r="A190" s="51">
        <v>434.0</v>
      </c>
      <c r="B190" s="51" t="s">
        <v>2329</v>
      </c>
      <c r="C190" s="51" t="s">
        <v>2152</v>
      </c>
      <c r="D190" s="51" t="s">
        <v>1843</v>
      </c>
      <c r="E190" s="51" t="s">
        <v>252</v>
      </c>
      <c r="F190" s="51" t="s">
        <v>2275</v>
      </c>
      <c r="G190" s="51" t="s">
        <v>249</v>
      </c>
      <c r="H190" s="51" t="s">
        <v>2331</v>
      </c>
      <c r="I190" s="51">
        <v>2022.0</v>
      </c>
      <c r="J190" s="51" t="s">
        <v>1841</v>
      </c>
      <c r="K190" s="51" t="s">
        <v>2330</v>
      </c>
      <c r="L190" s="51" t="s">
        <v>2141</v>
      </c>
      <c r="M190" s="51" t="s">
        <v>226</v>
      </c>
      <c r="N190" s="51" t="s">
        <v>2726</v>
      </c>
      <c r="O190" s="51" t="s">
        <v>477</v>
      </c>
      <c r="P190" s="51" t="s">
        <v>575</v>
      </c>
      <c r="Q190" s="51" t="s">
        <v>2727</v>
      </c>
      <c r="R190" s="51" t="s">
        <v>2728</v>
      </c>
      <c r="S190" s="51" t="s">
        <v>1846</v>
      </c>
      <c r="T190" s="51" t="s">
        <v>1847</v>
      </c>
      <c r="U190" s="52">
        <v>0.375</v>
      </c>
      <c r="V190" s="52">
        <v>0.7916666666666666</v>
      </c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3" t="s">
        <v>342</v>
      </c>
      <c r="AH190" s="51"/>
      <c r="AI190" s="51"/>
      <c r="AJ190" s="51" t="s">
        <v>357</v>
      </c>
      <c r="AK190" s="50" t="str">
        <f>IFERROR(__xludf.DUMMYFUNCTION("""COMPUTED_VALUE"""),"49961545001559")</f>
        <v>49961545001559</v>
      </c>
    </row>
    <row r="191" ht="15.75" customHeight="1">
      <c r="A191" s="41">
        <v>436.0</v>
      </c>
      <c r="B191" s="41" t="s">
        <v>2334</v>
      </c>
      <c r="C191" s="41" t="s">
        <v>2152</v>
      </c>
      <c r="D191" s="41" t="s">
        <v>1853</v>
      </c>
      <c r="E191" s="41" t="s">
        <v>252</v>
      </c>
      <c r="F191" s="41" t="s">
        <v>2275</v>
      </c>
      <c r="G191" s="41" t="s">
        <v>249</v>
      </c>
      <c r="H191" s="42" t="s">
        <v>2336</v>
      </c>
      <c r="I191" s="42">
        <v>18.0</v>
      </c>
      <c r="J191" s="42" t="s">
        <v>1851</v>
      </c>
      <c r="K191" s="42" t="s">
        <v>39</v>
      </c>
      <c r="L191" s="42" t="s">
        <v>2335</v>
      </c>
      <c r="M191" s="42" t="s">
        <v>226</v>
      </c>
      <c r="N191" s="42" t="s">
        <v>2729</v>
      </c>
      <c r="O191" s="42" t="s">
        <v>477</v>
      </c>
      <c r="P191" s="42" t="s">
        <v>575</v>
      </c>
      <c r="Q191" s="43" t="s">
        <v>2730</v>
      </c>
      <c r="R191" s="43" t="s">
        <v>2731</v>
      </c>
      <c r="S191" s="43" t="s">
        <v>1855</v>
      </c>
      <c r="T191" s="43" t="s">
        <v>1856</v>
      </c>
      <c r="U191" s="45">
        <v>0.375</v>
      </c>
      <c r="V191" s="45">
        <v>0.7916666666666666</v>
      </c>
      <c r="W191" s="46"/>
      <c r="X191" s="46"/>
      <c r="Y191" s="46"/>
      <c r="Z191" s="46"/>
      <c r="AA191" s="46"/>
      <c r="AB191" s="46"/>
      <c r="AC191" s="46"/>
      <c r="AD191" s="47"/>
      <c r="AE191" s="47"/>
      <c r="AF191" s="47"/>
      <c r="AG191" s="48" t="s">
        <v>342</v>
      </c>
      <c r="AH191" s="47"/>
      <c r="AI191" s="49"/>
      <c r="AJ191" s="49" t="s">
        <v>357</v>
      </c>
      <c r="AK191" s="50" t="str">
        <f>IFERROR(__xludf.DUMMYFUNCTION("""COMPUTED_VALUE"""),"49961545003250")</f>
        <v>49961545003250</v>
      </c>
    </row>
    <row r="192" ht="15.75" customHeight="1">
      <c r="A192" s="51">
        <v>439.0</v>
      </c>
      <c r="B192" s="51" t="s">
        <v>2337</v>
      </c>
      <c r="C192" s="51" t="s">
        <v>2152</v>
      </c>
      <c r="D192" s="51" t="s">
        <v>1862</v>
      </c>
      <c r="E192" s="51" t="s">
        <v>252</v>
      </c>
      <c r="F192" s="51" t="s">
        <v>2275</v>
      </c>
      <c r="G192" s="51" t="s">
        <v>249</v>
      </c>
      <c r="H192" s="51" t="s">
        <v>2253</v>
      </c>
      <c r="I192" s="51">
        <v>6767.0</v>
      </c>
      <c r="J192" s="51" t="s">
        <v>1860</v>
      </c>
      <c r="K192" s="51" t="s">
        <v>2252</v>
      </c>
      <c r="L192" s="51" t="s">
        <v>2155</v>
      </c>
      <c r="M192" s="51" t="s">
        <v>226</v>
      </c>
      <c r="N192" s="51" t="s">
        <v>2732</v>
      </c>
      <c r="O192" s="51" t="s">
        <v>477</v>
      </c>
      <c r="P192" s="51" t="s">
        <v>575</v>
      </c>
      <c r="Q192" s="51" t="s">
        <v>2733</v>
      </c>
      <c r="R192" s="51" t="s">
        <v>2734</v>
      </c>
      <c r="S192" s="51" t="s">
        <v>1865</v>
      </c>
      <c r="T192" s="51" t="s">
        <v>1866</v>
      </c>
      <c r="U192" s="52">
        <v>0.375</v>
      </c>
      <c r="V192" s="52">
        <v>0.9166666666666666</v>
      </c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3" t="s">
        <v>342</v>
      </c>
      <c r="AH192" s="51"/>
      <c r="AI192" s="51"/>
      <c r="AJ192" s="51" t="s">
        <v>357</v>
      </c>
      <c r="AK192" s="50" t="str">
        <f>IFERROR(__xludf.DUMMYFUNCTION("""COMPUTED_VALUE"""),"49961545001125")</f>
        <v>49961545001125</v>
      </c>
    </row>
    <row r="193" ht="15.75" customHeight="1">
      <c r="A193" s="41">
        <v>440.0</v>
      </c>
      <c r="B193" s="41" t="s">
        <v>1868</v>
      </c>
      <c r="C193" s="41" t="s">
        <v>2152</v>
      </c>
      <c r="D193" s="41" t="s">
        <v>1872</v>
      </c>
      <c r="E193" s="41" t="s">
        <v>252</v>
      </c>
      <c r="F193" s="41" t="s">
        <v>2275</v>
      </c>
      <c r="G193" s="41" t="s">
        <v>249</v>
      </c>
      <c r="H193" s="42" t="s">
        <v>2233</v>
      </c>
      <c r="I193" s="42">
        <v>300.0</v>
      </c>
      <c r="J193" s="42" t="s">
        <v>1870</v>
      </c>
      <c r="K193" s="42" t="s">
        <v>2232</v>
      </c>
      <c r="L193" s="42" t="s">
        <v>2155</v>
      </c>
      <c r="M193" s="42" t="s">
        <v>226</v>
      </c>
      <c r="N193" s="42" t="s">
        <v>2642</v>
      </c>
      <c r="O193" s="42" t="s">
        <v>477</v>
      </c>
      <c r="P193" s="42" t="s">
        <v>575</v>
      </c>
      <c r="Q193" s="43" t="s">
        <v>2735</v>
      </c>
      <c r="R193" s="43" t="s">
        <v>2736</v>
      </c>
      <c r="S193" s="43" t="s">
        <v>1874</v>
      </c>
      <c r="T193" s="43" t="s">
        <v>1875</v>
      </c>
      <c r="U193" s="45">
        <v>0.4166666666666667</v>
      </c>
      <c r="V193" s="45">
        <v>0.9166666666666666</v>
      </c>
      <c r="W193" s="46"/>
      <c r="X193" s="46"/>
      <c r="Y193" s="46"/>
      <c r="Z193" s="46"/>
      <c r="AA193" s="46"/>
      <c r="AB193" s="46"/>
      <c r="AC193" s="46"/>
      <c r="AD193" s="47"/>
      <c r="AE193" s="47"/>
      <c r="AF193" s="47"/>
      <c r="AG193" s="48" t="s">
        <v>342</v>
      </c>
      <c r="AH193" s="47"/>
      <c r="AI193" s="49"/>
      <c r="AJ193" s="49" t="s">
        <v>357</v>
      </c>
      <c r="AK193" s="50" t="str">
        <f>IFERROR(__xludf.DUMMYFUNCTION("""COMPUTED_VALUE"""),"49961545001397")</f>
        <v>49961545001397</v>
      </c>
    </row>
    <row r="194" ht="15.75" customHeight="1">
      <c r="A194" s="51">
        <v>441.0</v>
      </c>
      <c r="B194" s="51" t="s">
        <v>2340</v>
      </c>
      <c r="C194" s="51" t="s">
        <v>2152</v>
      </c>
      <c r="D194" s="51" t="s">
        <v>1879</v>
      </c>
      <c r="E194" s="51" t="s">
        <v>252</v>
      </c>
      <c r="F194" s="51" t="s">
        <v>2275</v>
      </c>
      <c r="G194" s="51" t="s">
        <v>249</v>
      </c>
      <c r="H194" s="51" t="s">
        <v>2198</v>
      </c>
      <c r="I194" s="51">
        <v>2611.0</v>
      </c>
      <c r="J194" s="51" t="s">
        <v>1878</v>
      </c>
      <c r="K194" s="51" t="s">
        <v>2259</v>
      </c>
      <c r="L194" s="51" t="s">
        <v>2155</v>
      </c>
      <c r="M194" s="51" t="s">
        <v>226</v>
      </c>
      <c r="N194" s="51" t="s">
        <v>2667</v>
      </c>
      <c r="O194" s="51" t="s">
        <v>477</v>
      </c>
      <c r="P194" s="51" t="s">
        <v>575</v>
      </c>
      <c r="Q194" s="51" t="s">
        <v>2737</v>
      </c>
      <c r="R194" s="51" t="s">
        <v>2738</v>
      </c>
      <c r="S194" s="51" t="s">
        <v>1882</v>
      </c>
      <c r="T194" s="51" t="s">
        <v>1883</v>
      </c>
      <c r="U194" s="52">
        <v>0.3541666666666667</v>
      </c>
      <c r="V194" s="52">
        <v>0.7916666666666666</v>
      </c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3" t="s">
        <v>342</v>
      </c>
      <c r="AH194" s="51"/>
      <c r="AI194" s="51"/>
      <c r="AJ194" s="51" t="s">
        <v>357</v>
      </c>
      <c r="AK194" s="50" t="str">
        <f>IFERROR(__xludf.DUMMYFUNCTION("""COMPUTED_VALUE"""),"49961545004493")</f>
        <v>49961545004493</v>
      </c>
    </row>
    <row r="195" ht="15.75" customHeight="1">
      <c r="A195" s="41">
        <v>444.0</v>
      </c>
      <c r="B195" s="41" t="s">
        <v>2344</v>
      </c>
      <c r="C195" s="41" t="s">
        <v>2152</v>
      </c>
      <c r="D195" s="41" t="s">
        <v>1888</v>
      </c>
      <c r="E195" s="41" t="s">
        <v>252</v>
      </c>
      <c r="F195" s="41" t="s">
        <v>2275</v>
      </c>
      <c r="G195" s="41" t="s">
        <v>249</v>
      </c>
      <c r="H195" s="42" t="s">
        <v>2263</v>
      </c>
      <c r="I195" s="42">
        <v>1526.0</v>
      </c>
      <c r="J195" s="42" t="s">
        <v>1886</v>
      </c>
      <c r="K195" s="42" t="s">
        <v>2262</v>
      </c>
      <c r="L195" s="42" t="s">
        <v>2261</v>
      </c>
      <c r="M195" s="42" t="s">
        <v>226</v>
      </c>
      <c r="N195" s="42" t="s">
        <v>2670</v>
      </c>
      <c r="O195" s="42" t="s">
        <v>375</v>
      </c>
      <c r="P195" s="42" t="s">
        <v>575</v>
      </c>
      <c r="Q195" s="43" t="s">
        <v>2739</v>
      </c>
      <c r="R195" s="43" t="s">
        <v>2740</v>
      </c>
      <c r="S195" s="43" t="s">
        <v>1889</v>
      </c>
      <c r="T195" s="43" t="s">
        <v>1890</v>
      </c>
      <c r="U195" s="45">
        <v>0.4166666666666667</v>
      </c>
      <c r="V195" s="45">
        <v>0.9166666666666666</v>
      </c>
      <c r="W195" s="46"/>
      <c r="X195" s="46"/>
      <c r="Y195" s="46"/>
      <c r="Z195" s="46"/>
      <c r="AA195" s="46"/>
      <c r="AB195" s="46"/>
      <c r="AC195" s="46"/>
      <c r="AD195" s="47"/>
      <c r="AE195" s="47"/>
      <c r="AF195" s="47"/>
      <c r="AG195" s="48" t="s">
        <v>342</v>
      </c>
      <c r="AH195" s="47"/>
      <c r="AI195" s="49"/>
      <c r="AJ195" s="49" t="s">
        <v>357</v>
      </c>
      <c r="AK195" s="50" t="str">
        <f>IFERROR(__xludf.DUMMYFUNCTION("""COMPUTED_VALUE"""),"49961545005031")</f>
        <v>49961545005031</v>
      </c>
    </row>
    <row r="196" ht="15.75" customHeight="1">
      <c r="A196" s="51">
        <v>445.0</v>
      </c>
      <c r="B196" s="51" t="s">
        <v>1893</v>
      </c>
      <c r="C196" s="51" t="s">
        <v>2152</v>
      </c>
      <c r="D196" s="51" t="s">
        <v>1897</v>
      </c>
      <c r="E196" s="51" t="s">
        <v>252</v>
      </c>
      <c r="F196" s="51" t="s">
        <v>2275</v>
      </c>
      <c r="G196" s="51" t="s">
        <v>249</v>
      </c>
      <c r="H196" s="51" t="s">
        <v>2265</v>
      </c>
      <c r="I196" s="51">
        <v>555.0</v>
      </c>
      <c r="J196" s="51" t="s">
        <v>1894</v>
      </c>
      <c r="K196" s="51" t="s">
        <v>2264</v>
      </c>
      <c r="L196" s="51" t="s">
        <v>2184</v>
      </c>
      <c r="M196" s="51" t="s">
        <v>226</v>
      </c>
      <c r="N196" s="51" t="s">
        <v>2673</v>
      </c>
      <c r="O196" s="51" t="s">
        <v>477</v>
      </c>
      <c r="P196" s="51" t="s">
        <v>575</v>
      </c>
      <c r="Q196" s="51" t="s">
        <v>2741</v>
      </c>
      <c r="R196" s="51" t="s">
        <v>2742</v>
      </c>
      <c r="S196" s="51" t="s">
        <v>1901</v>
      </c>
      <c r="T196" s="51" t="s">
        <v>1903</v>
      </c>
      <c r="U196" s="52">
        <v>0.4166666666666667</v>
      </c>
      <c r="V196" s="52">
        <v>0.9166666666666666</v>
      </c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3" t="s">
        <v>342</v>
      </c>
      <c r="AH196" s="51"/>
      <c r="AI196" s="51"/>
      <c r="AJ196" s="51" t="s">
        <v>357</v>
      </c>
      <c r="AK196" s="50" t="str">
        <f>IFERROR(__xludf.DUMMYFUNCTION("""COMPUTED_VALUE"""),"49961545004574")</f>
        <v>49961545004574</v>
      </c>
    </row>
    <row r="197" ht="15.75" customHeight="1">
      <c r="A197" s="41">
        <v>446.0</v>
      </c>
      <c r="B197" s="41" t="s">
        <v>2345</v>
      </c>
      <c r="C197" s="41" t="s">
        <v>2152</v>
      </c>
      <c r="D197" s="41" t="s">
        <v>1910</v>
      </c>
      <c r="E197" s="41" t="s">
        <v>252</v>
      </c>
      <c r="F197" s="41" t="s">
        <v>2275</v>
      </c>
      <c r="G197" s="41" t="s">
        <v>249</v>
      </c>
      <c r="H197" s="42" t="s">
        <v>2349</v>
      </c>
      <c r="I197" s="42">
        <v>155.0</v>
      </c>
      <c r="J197" s="42" t="s">
        <v>1907</v>
      </c>
      <c r="K197" s="42" t="s">
        <v>2348</v>
      </c>
      <c r="L197" s="42" t="s">
        <v>2278</v>
      </c>
      <c r="M197" s="42" t="s">
        <v>226</v>
      </c>
      <c r="N197" s="42" t="s">
        <v>2743</v>
      </c>
      <c r="O197" s="42" t="s">
        <v>375</v>
      </c>
      <c r="P197" s="42" t="s">
        <v>575</v>
      </c>
      <c r="Q197" s="43" t="s">
        <v>2744</v>
      </c>
      <c r="R197" s="43" t="s">
        <v>2745</v>
      </c>
      <c r="S197" s="43" t="s">
        <v>1913</v>
      </c>
      <c r="T197" s="43" t="s">
        <v>1914</v>
      </c>
      <c r="U197" s="45">
        <v>0.4166666666666667</v>
      </c>
      <c r="V197" s="45">
        <v>0.9166666666666666</v>
      </c>
      <c r="W197" s="46"/>
      <c r="X197" s="46"/>
      <c r="Y197" s="46"/>
      <c r="Z197" s="46"/>
      <c r="AA197" s="46"/>
      <c r="AB197" s="46"/>
      <c r="AC197" s="46"/>
      <c r="AD197" s="47"/>
      <c r="AE197" s="47"/>
      <c r="AF197" s="47"/>
      <c r="AG197" s="48" t="s">
        <v>342</v>
      </c>
      <c r="AH197" s="47"/>
      <c r="AI197" s="49"/>
      <c r="AJ197" s="49" t="s">
        <v>357</v>
      </c>
      <c r="AK197" s="50" t="str">
        <f>IFERROR(__xludf.DUMMYFUNCTION("""COMPUTED_VALUE"""),"49961545005201")</f>
        <v>49961545005201</v>
      </c>
    </row>
    <row r="198" ht="15.75" customHeight="1">
      <c r="A198" s="51">
        <v>447.0</v>
      </c>
      <c r="B198" s="51" t="s">
        <v>2350</v>
      </c>
      <c r="C198" s="51" t="s">
        <v>2152</v>
      </c>
      <c r="D198" s="51" t="s">
        <v>1917</v>
      </c>
      <c r="E198" s="51" t="s">
        <v>252</v>
      </c>
      <c r="F198" s="51" t="s">
        <v>2275</v>
      </c>
      <c r="G198" s="51" t="s">
        <v>249</v>
      </c>
      <c r="H198" s="51" t="s">
        <v>2172</v>
      </c>
      <c r="I198" s="51">
        <v>4545.0</v>
      </c>
      <c r="J198" s="51" t="s">
        <v>1916</v>
      </c>
      <c r="K198" s="51" t="s">
        <v>1533</v>
      </c>
      <c r="L198" s="51" t="s">
        <v>1534</v>
      </c>
      <c r="M198" s="51" t="s">
        <v>226</v>
      </c>
      <c r="N198" s="51" t="s">
        <v>2491</v>
      </c>
      <c r="O198" s="51" t="s">
        <v>477</v>
      </c>
      <c r="P198" s="51" t="s">
        <v>575</v>
      </c>
      <c r="Q198" s="51" t="s">
        <v>2746</v>
      </c>
      <c r="R198" s="51" t="s">
        <v>2747</v>
      </c>
      <c r="S198" s="51" t="s">
        <v>1919</v>
      </c>
      <c r="T198" s="51" t="s">
        <v>1920</v>
      </c>
      <c r="U198" s="52">
        <v>0.4166666666666667</v>
      </c>
      <c r="V198" s="52">
        <v>0.9583333333333334</v>
      </c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3" t="s">
        <v>342</v>
      </c>
      <c r="AH198" s="51"/>
      <c r="AI198" s="51"/>
      <c r="AJ198" s="51" t="s">
        <v>357</v>
      </c>
      <c r="AK198" s="50" t="str">
        <f>IFERROR(__xludf.DUMMYFUNCTION("""COMPUTED_VALUE"""),"49961545003926")</f>
        <v>49961545003926</v>
      </c>
    </row>
    <row r="199" ht="15.75" customHeight="1">
      <c r="A199" s="41">
        <v>449.0</v>
      </c>
      <c r="B199" s="41" t="s">
        <v>2353</v>
      </c>
      <c r="C199" s="41" t="s">
        <v>2152</v>
      </c>
      <c r="D199" s="41" t="s">
        <v>1926</v>
      </c>
      <c r="E199" s="41" t="s">
        <v>252</v>
      </c>
      <c r="F199" s="41" t="s">
        <v>2275</v>
      </c>
      <c r="G199" s="41" t="s">
        <v>249</v>
      </c>
      <c r="H199" s="42" t="s">
        <v>2355</v>
      </c>
      <c r="I199" s="42">
        <v>2885.0</v>
      </c>
      <c r="J199" s="42" t="s">
        <v>1924</v>
      </c>
      <c r="K199" s="42" t="s">
        <v>2354</v>
      </c>
      <c r="L199" s="42" t="s">
        <v>2246</v>
      </c>
      <c r="M199" s="42" t="s">
        <v>226</v>
      </c>
      <c r="N199" s="42" t="s">
        <v>2748</v>
      </c>
      <c r="O199" s="42" t="s">
        <v>400</v>
      </c>
      <c r="P199" s="42" t="s">
        <v>575</v>
      </c>
      <c r="Q199" s="43" t="s">
        <v>2749</v>
      </c>
      <c r="R199" s="43" t="s">
        <v>2750</v>
      </c>
      <c r="S199" s="43" t="s">
        <v>1929</v>
      </c>
      <c r="T199" s="43" t="s">
        <v>1930</v>
      </c>
      <c r="U199" s="45">
        <v>0.4166666666666667</v>
      </c>
      <c r="V199" s="45">
        <v>0.9166666666666666</v>
      </c>
      <c r="W199" s="46"/>
      <c r="X199" s="46"/>
      <c r="Y199" s="46"/>
      <c r="Z199" s="46"/>
      <c r="AA199" s="46"/>
      <c r="AB199" s="46"/>
      <c r="AC199" s="46"/>
      <c r="AD199" s="47"/>
      <c r="AE199" s="47"/>
      <c r="AF199" s="47"/>
      <c r="AG199" s="48" t="s">
        <v>342</v>
      </c>
      <c r="AH199" s="47"/>
      <c r="AI199" s="49"/>
      <c r="AJ199" s="49" t="s">
        <v>357</v>
      </c>
      <c r="AK199" s="50" t="str">
        <f>IFERROR(__xludf.DUMMYFUNCTION("""COMPUTED_VALUE"""),"49961545000315")</f>
        <v>49961545000315</v>
      </c>
    </row>
    <row r="200" ht="15.75" customHeight="1">
      <c r="A200" s="51">
        <v>450.0</v>
      </c>
      <c r="B200" s="51" t="s">
        <v>2356</v>
      </c>
      <c r="C200" s="51" t="s">
        <v>2152</v>
      </c>
      <c r="D200" s="51" t="s">
        <v>1936</v>
      </c>
      <c r="E200" s="51" t="s">
        <v>252</v>
      </c>
      <c r="F200" s="51" t="s">
        <v>2275</v>
      </c>
      <c r="G200" s="51" t="s">
        <v>249</v>
      </c>
      <c r="H200" s="51" t="s">
        <v>2358</v>
      </c>
      <c r="I200" s="51">
        <v>2780.0</v>
      </c>
      <c r="J200" s="51" t="s">
        <v>2751</v>
      </c>
      <c r="K200" s="51" t="s">
        <v>2357</v>
      </c>
      <c r="L200" s="51" t="s">
        <v>2220</v>
      </c>
      <c r="M200" s="51" t="s">
        <v>226</v>
      </c>
      <c r="N200" s="51" t="s">
        <v>2752</v>
      </c>
      <c r="O200" s="51" t="s">
        <v>400</v>
      </c>
      <c r="P200" s="51" t="s">
        <v>575</v>
      </c>
      <c r="Q200" s="51" t="s">
        <v>2753</v>
      </c>
      <c r="R200" s="51" t="s">
        <v>2754</v>
      </c>
      <c r="S200" s="51" t="s">
        <v>1938</v>
      </c>
      <c r="T200" s="51" t="s">
        <v>1939</v>
      </c>
      <c r="U200" s="52">
        <v>0.4583333333333333</v>
      </c>
      <c r="V200" s="52">
        <v>0.9583333333333334</v>
      </c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3" t="s">
        <v>342</v>
      </c>
      <c r="AH200" s="51"/>
      <c r="AI200" s="51"/>
      <c r="AJ200" s="51" t="s">
        <v>357</v>
      </c>
      <c r="AK200" s="50" t="str">
        <f>IFERROR(__xludf.DUMMYFUNCTION("""COMPUTED_VALUE"""),"49961545006607")</f>
        <v>49961545006607</v>
      </c>
    </row>
    <row r="201" ht="15.75" customHeight="1">
      <c r="A201" s="41">
        <v>500.0</v>
      </c>
      <c r="B201" s="41" t="s">
        <v>2361</v>
      </c>
      <c r="C201" s="41" t="s">
        <v>2360</v>
      </c>
      <c r="D201" s="41" t="s">
        <v>2755</v>
      </c>
      <c r="E201" s="41" t="s">
        <v>857</v>
      </c>
      <c r="F201" s="41" t="s">
        <v>2362</v>
      </c>
      <c r="G201" s="41" t="s">
        <v>124</v>
      </c>
      <c r="H201" s="42" t="s">
        <v>670</v>
      </c>
      <c r="I201" s="42">
        <v>1692.0</v>
      </c>
      <c r="J201" s="42"/>
      <c r="K201" s="42" t="s">
        <v>673</v>
      </c>
      <c r="L201" s="42" t="s">
        <v>271</v>
      </c>
      <c r="M201" s="42" t="s">
        <v>41</v>
      </c>
      <c r="N201" s="42" t="s">
        <v>676</v>
      </c>
      <c r="O201" s="42"/>
      <c r="P201" s="42"/>
      <c r="Q201" s="43"/>
      <c r="R201" s="43"/>
      <c r="S201" s="43"/>
      <c r="T201" s="43"/>
      <c r="U201" s="45"/>
      <c r="V201" s="45"/>
      <c r="W201" s="46"/>
      <c r="X201" s="46"/>
      <c r="Y201" s="46"/>
      <c r="Z201" s="46"/>
      <c r="AA201" s="46"/>
      <c r="AB201" s="46"/>
      <c r="AC201" s="46"/>
      <c r="AD201" s="47"/>
      <c r="AE201" s="47"/>
      <c r="AF201" s="47"/>
      <c r="AG201" s="48" t="s">
        <v>342</v>
      </c>
      <c r="AH201" s="47"/>
      <c r="AI201" s="49"/>
      <c r="AJ201" s="49"/>
      <c r="AK201" s="50" t="str">
        <f>IFERROR(__xludf.DUMMYFUNCTION("""COMPUTED_VALUE"""),"08451504000130")</f>
        <v>08451504000130</v>
      </c>
    </row>
    <row r="202" ht="15.75" customHeight="1">
      <c r="A202" s="51">
        <v>501.0</v>
      </c>
      <c r="B202" s="51" t="s">
        <v>2364</v>
      </c>
      <c r="C202" s="51" t="s">
        <v>2360</v>
      </c>
      <c r="D202" s="51" t="s">
        <v>2756</v>
      </c>
      <c r="E202" s="51" t="s">
        <v>252</v>
      </c>
      <c r="F202" s="51" t="s">
        <v>2362</v>
      </c>
      <c r="G202" s="51" t="s">
        <v>147</v>
      </c>
      <c r="H202" s="51" t="s">
        <v>670</v>
      </c>
      <c r="I202" s="51">
        <v>1692.0</v>
      </c>
      <c r="J202" s="51"/>
      <c r="K202" s="51" t="s">
        <v>673</v>
      </c>
      <c r="L202" s="51" t="s">
        <v>271</v>
      </c>
      <c r="M202" s="51" t="s">
        <v>41</v>
      </c>
      <c r="N202" s="51" t="s">
        <v>676</v>
      </c>
      <c r="O202" s="51"/>
      <c r="P202" s="51"/>
      <c r="Q202" s="51"/>
      <c r="R202" s="51"/>
      <c r="S202" s="51"/>
      <c r="T202" s="51"/>
      <c r="U202" s="52"/>
      <c r="V202" s="52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3" t="s">
        <v>342</v>
      </c>
      <c r="AH202" s="51"/>
      <c r="AI202" s="51"/>
      <c r="AJ202" s="51"/>
      <c r="AK202" s="50" t="str">
        <f>IFERROR(__xludf.DUMMYFUNCTION("""COMPUTED_VALUE"""),"24808018000182")</f>
        <v>24808018000182</v>
      </c>
    </row>
    <row r="203" ht="15.75" customHeight="1">
      <c r="A203" s="41">
        <v>502.0</v>
      </c>
      <c r="B203" s="41" t="s">
        <v>2368</v>
      </c>
      <c r="C203" s="41" t="s">
        <v>2360</v>
      </c>
      <c r="D203" s="41" t="s">
        <v>2757</v>
      </c>
      <c r="E203" s="41" t="s">
        <v>252</v>
      </c>
      <c r="F203" s="41" t="s">
        <v>2362</v>
      </c>
      <c r="G203" s="41" t="s">
        <v>147</v>
      </c>
      <c r="H203" s="42" t="s">
        <v>2372</v>
      </c>
      <c r="I203" s="42">
        <v>1885.0</v>
      </c>
      <c r="J203" s="42"/>
      <c r="K203" s="42" t="s">
        <v>2371</v>
      </c>
      <c r="L203" s="42" t="s">
        <v>2370</v>
      </c>
      <c r="M203" s="42" t="s">
        <v>181</v>
      </c>
      <c r="N203" s="42" t="s">
        <v>2758</v>
      </c>
      <c r="O203" s="42"/>
      <c r="P203" s="42"/>
      <c r="Q203" s="43"/>
      <c r="R203" s="43"/>
      <c r="S203" s="43"/>
      <c r="T203" s="43"/>
      <c r="U203" s="45"/>
      <c r="V203" s="45"/>
      <c r="W203" s="46"/>
      <c r="X203" s="46"/>
      <c r="Y203" s="46"/>
      <c r="Z203" s="46"/>
      <c r="AA203" s="46"/>
      <c r="AB203" s="46"/>
      <c r="AC203" s="46"/>
      <c r="AD203" s="47"/>
      <c r="AE203" s="47"/>
      <c r="AF203" s="47"/>
      <c r="AG203" s="48" t="s">
        <v>342</v>
      </c>
      <c r="AH203" s="47"/>
      <c r="AI203" s="49"/>
      <c r="AJ203" s="49"/>
      <c r="AK203" s="50" t="str">
        <f>IFERROR(__xludf.DUMMYFUNCTION("""COMPUTED_VALUE"""),"24808018000263")</f>
        <v>24808018000263</v>
      </c>
    </row>
    <row r="204" ht="15.75" customHeight="1">
      <c r="A204" s="51">
        <v>503.0</v>
      </c>
      <c r="B204" s="51" t="s">
        <v>2375</v>
      </c>
      <c r="C204" s="51" t="s">
        <v>2360</v>
      </c>
      <c r="D204" s="51" t="s">
        <v>2759</v>
      </c>
      <c r="E204" s="51" t="s">
        <v>252</v>
      </c>
      <c r="F204" s="51" t="s">
        <v>2362</v>
      </c>
      <c r="G204" s="51" t="s">
        <v>124</v>
      </c>
      <c r="H204" s="51" t="s">
        <v>670</v>
      </c>
      <c r="I204" s="51">
        <v>1692.0</v>
      </c>
      <c r="J204" s="51"/>
      <c r="K204" s="51" t="s">
        <v>673</v>
      </c>
      <c r="L204" s="51" t="s">
        <v>271</v>
      </c>
      <c r="M204" s="51" t="s">
        <v>41</v>
      </c>
      <c r="N204" s="51" t="s">
        <v>676</v>
      </c>
      <c r="O204" s="51"/>
      <c r="P204" s="51"/>
      <c r="Q204" s="51"/>
      <c r="R204" s="51"/>
      <c r="S204" s="51"/>
      <c r="T204" s="51"/>
      <c r="U204" s="52"/>
      <c r="V204" s="52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3" t="s">
        <v>342</v>
      </c>
      <c r="AH204" s="51"/>
      <c r="AI204" s="51"/>
      <c r="AJ204" s="51"/>
      <c r="AK204" s="50" t="str">
        <f>IFERROR(__xludf.DUMMYFUNCTION("""COMPUTED_VALUE"""),"79332465000108")</f>
        <v>79332465000108</v>
      </c>
    </row>
    <row r="205" ht="15.75" customHeight="1">
      <c r="A205" s="41">
        <v>505.0</v>
      </c>
      <c r="B205" s="41" t="s">
        <v>2377</v>
      </c>
      <c r="C205" s="41" t="s">
        <v>2360</v>
      </c>
      <c r="D205" s="41" t="s">
        <v>2760</v>
      </c>
      <c r="E205" s="41" t="s">
        <v>252</v>
      </c>
      <c r="F205" s="41" t="s">
        <v>2362</v>
      </c>
      <c r="G205" s="41" t="s">
        <v>147</v>
      </c>
      <c r="H205" s="42" t="s">
        <v>2380</v>
      </c>
      <c r="I205" s="42">
        <v>35.0</v>
      </c>
      <c r="J205" s="42"/>
      <c r="K205" s="42" t="s">
        <v>2379</v>
      </c>
      <c r="L205" s="42" t="s">
        <v>2378</v>
      </c>
      <c r="M205" s="42" t="s">
        <v>162</v>
      </c>
      <c r="N205" s="42" t="s">
        <v>2761</v>
      </c>
      <c r="O205" s="42"/>
      <c r="P205" s="42"/>
      <c r="Q205" s="43"/>
      <c r="R205" s="43"/>
      <c r="S205" s="43"/>
      <c r="T205" s="43"/>
      <c r="U205" s="45"/>
      <c r="V205" s="45"/>
      <c r="W205" s="46"/>
      <c r="X205" s="46"/>
      <c r="Y205" s="46"/>
      <c r="Z205" s="46"/>
      <c r="AA205" s="46"/>
      <c r="AB205" s="46"/>
      <c r="AC205" s="46"/>
      <c r="AD205" s="47"/>
      <c r="AE205" s="47"/>
      <c r="AF205" s="47"/>
      <c r="AG205" s="48" t="s">
        <v>342</v>
      </c>
      <c r="AH205" s="47"/>
      <c r="AI205" s="49"/>
      <c r="AJ205" s="49"/>
      <c r="AK205" s="50" t="str">
        <f>IFERROR(__xludf.DUMMYFUNCTION("""COMPUTED_VALUE"""),"24808018000344")</f>
        <v>24808018000344</v>
      </c>
    </row>
    <row r="206" ht="15.75" customHeight="1">
      <c r="A206" s="51">
        <v>506.0</v>
      </c>
      <c r="B206" s="51" t="s">
        <v>2381</v>
      </c>
      <c r="C206" s="51" t="s">
        <v>2360</v>
      </c>
      <c r="D206" s="51" t="s">
        <v>2762</v>
      </c>
      <c r="E206" s="51" t="s">
        <v>252</v>
      </c>
      <c r="F206" s="51" t="s">
        <v>2362</v>
      </c>
      <c r="G206" s="51" t="s">
        <v>147</v>
      </c>
      <c r="H206" s="51" t="s">
        <v>2380</v>
      </c>
      <c r="I206" s="51">
        <v>35.0</v>
      </c>
      <c r="J206" s="51"/>
      <c r="K206" s="51" t="s">
        <v>2379</v>
      </c>
      <c r="L206" s="51" t="s">
        <v>2378</v>
      </c>
      <c r="M206" s="51" t="s">
        <v>162</v>
      </c>
      <c r="N206" s="51" t="s">
        <v>2761</v>
      </c>
      <c r="O206" s="51"/>
      <c r="P206" s="51"/>
      <c r="Q206" s="51"/>
      <c r="R206" s="51"/>
      <c r="S206" s="51"/>
      <c r="T206" s="51"/>
      <c r="U206" s="52"/>
      <c r="V206" s="52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3" t="s">
        <v>342</v>
      </c>
      <c r="AH206" s="51"/>
      <c r="AI206" s="51"/>
      <c r="AJ206" s="51"/>
      <c r="AK206" s="50" t="str">
        <f>IFERROR(__xludf.DUMMYFUNCTION("""COMPUTED_VALUE"""),"24808018000425")</f>
        <v>24808018000425</v>
      </c>
    </row>
    <row r="207" ht="15.75" customHeight="1">
      <c r="A207" s="41">
        <v>600.0</v>
      </c>
      <c r="B207" s="41" t="s">
        <v>2386</v>
      </c>
      <c r="C207" s="41" t="s">
        <v>2385</v>
      </c>
      <c r="D207" s="41" t="s">
        <v>2763</v>
      </c>
      <c r="E207" s="41" t="s">
        <v>252</v>
      </c>
      <c r="F207" s="41" t="s">
        <v>1018</v>
      </c>
      <c r="G207" s="41" t="s">
        <v>269</v>
      </c>
      <c r="H207" s="42" t="s">
        <v>2390</v>
      </c>
      <c r="I207" s="42"/>
      <c r="J207" s="42"/>
      <c r="K207" s="42" t="s">
        <v>2389</v>
      </c>
      <c r="L207" s="42" t="s">
        <v>2388</v>
      </c>
      <c r="M207" s="42" t="s">
        <v>181</v>
      </c>
      <c r="N207" s="42" t="s">
        <v>2764</v>
      </c>
      <c r="O207" s="42"/>
      <c r="P207" s="42"/>
      <c r="Q207" s="43"/>
      <c r="R207" s="43"/>
      <c r="S207" s="43"/>
      <c r="T207" s="43"/>
      <c r="U207" s="45"/>
      <c r="V207" s="45"/>
      <c r="W207" s="46"/>
      <c r="X207" s="46"/>
      <c r="Y207" s="46"/>
      <c r="Z207" s="46"/>
      <c r="AA207" s="46"/>
      <c r="AB207" s="46"/>
      <c r="AC207" s="46"/>
      <c r="AD207" s="47"/>
      <c r="AE207" s="47"/>
      <c r="AF207" s="47"/>
      <c r="AG207" s="48" t="s">
        <v>342</v>
      </c>
      <c r="AH207" s="47"/>
      <c r="AI207" s="49"/>
      <c r="AJ207" s="49"/>
      <c r="AK207" s="50" t="str">
        <f>IFERROR(__xludf.DUMMYFUNCTION("""COMPUTED_VALUE"""),"54650901000158")</f>
        <v>54650901000158</v>
      </c>
    </row>
    <row r="208" ht="15.75" customHeight="1">
      <c r="A208" s="51">
        <v>601.0</v>
      </c>
      <c r="B208" s="51" t="s">
        <v>2391</v>
      </c>
      <c r="C208" s="51" t="s">
        <v>2385</v>
      </c>
      <c r="D208" s="51" t="s">
        <v>2765</v>
      </c>
      <c r="E208" s="51" t="s">
        <v>252</v>
      </c>
      <c r="F208" s="51" t="s">
        <v>1018</v>
      </c>
      <c r="G208" s="51" t="s">
        <v>269</v>
      </c>
      <c r="H208" s="51" t="s">
        <v>2380</v>
      </c>
      <c r="I208" s="51">
        <v>35.0</v>
      </c>
      <c r="J208" s="51"/>
      <c r="K208" s="51" t="s">
        <v>2379</v>
      </c>
      <c r="L208" s="51" t="s">
        <v>2378</v>
      </c>
      <c r="M208" s="51" t="s">
        <v>162</v>
      </c>
      <c r="N208" s="51" t="s">
        <v>2761</v>
      </c>
      <c r="O208" s="51"/>
      <c r="P208" s="51"/>
      <c r="Q208" s="51"/>
      <c r="R208" s="51"/>
      <c r="S208" s="51"/>
      <c r="T208" s="51"/>
      <c r="U208" s="52"/>
      <c r="V208" s="52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3" t="s">
        <v>342</v>
      </c>
      <c r="AH208" s="51"/>
      <c r="AI208" s="51"/>
      <c r="AJ208" s="51"/>
      <c r="AK208" s="50" t="str">
        <f>IFERROR(__xludf.DUMMYFUNCTION("""COMPUTED_VALUE"""),"54650901000239")</f>
        <v>54650901000239</v>
      </c>
    </row>
    <row r="209" ht="15.75" customHeight="1">
      <c r="A209" s="41">
        <v>610.0</v>
      </c>
      <c r="B209" s="41" t="s">
        <v>2394</v>
      </c>
      <c r="C209" s="41" t="s">
        <v>2385</v>
      </c>
      <c r="D209" s="41" t="s">
        <v>2766</v>
      </c>
      <c r="E209" s="41" t="s">
        <v>252</v>
      </c>
      <c r="F209" s="41" t="s">
        <v>1018</v>
      </c>
      <c r="G209" s="41" t="s">
        <v>269</v>
      </c>
      <c r="H209" s="42" t="s">
        <v>2380</v>
      </c>
      <c r="I209" s="42">
        <v>35.0</v>
      </c>
      <c r="J209" s="42"/>
      <c r="K209" s="42" t="s">
        <v>2379</v>
      </c>
      <c r="L209" s="42" t="s">
        <v>2378</v>
      </c>
      <c r="M209" s="42" t="s">
        <v>162</v>
      </c>
      <c r="N209" s="42" t="s">
        <v>2761</v>
      </c>
      <c r="O209" s="42"/>
      <c r="P209" s="42"/>
      <c r="Q209" s="43"/>
      <c r="R209" s="43"/>
      <c r="S209" s="43"/>
      <c r="T209" s="43"/>
      <c r="U209" s="45"/>
      <c r="V209" s="45"/>
      <c r="W209" s="46"/>
      <c r="X209" s="46"/>
      <c r="Y209" s="46"/>
      <c r="Z209" s="46"/>
      <c r="AA209" s="46"/>
      <c r="AB209" s="46"/>
      <c r="AC209" s="46"/>
      <c r="AD209" s="47"/>
      <c r="AE209" s="47"/>
      <c r="AF209" s="47"/>
      <c r="AG209" s="48" t="s">
        <v>342</v>
      </c>
      <c r="AH209" s="47"/>
      <c r="AI209" s="49"/>
      <c r="AJ209" s="49"/>
      <c r="AK209" s="50" t="str">
        <f>IFERROR(__xludf.DUMMYFUNCTION("""COMPUTED_VALUE"""),"13188910000191")</f>
        <v>13188910000191</v>
      </c>
    </row>
    <row r="210" ht="15.75" customHeight="1">
      <c r="A210" s="51">
        <v>700.0</v>
      </c>
      <c r="B210" s="51" t="s">
        <v>2396</v>
      </c>
      <c r="C210" s="51" t="s">
        <v>2395</v>
      </c>
      <c r="D210" s="51" t="s">
        <v>2767</v>
      </c>
      <c r="E210" s="51" t="s">
        <v>252</v>
      </c>
      <c r="F210" s="51" t="s">
        <v>2397</v>
      </c>
      <c r="G210" s="51" t="s">
        <v>277</v>
      </c>
      <c r="H210" s="51" t="s">
        <v>2380</v>
      </c>
      <c r="I210" s="51">
        <v>35.0</v>
      </c>
      <c r="J210" s="51"/>
      <c r="K210" s="51" t="s">
        <v>2379</v>
      </c>
      <c r="L210" s="51" t="s">
        <v>2378</v>
      </c>
      <c r="M210" s="51" t="s">
        <v>162</v>
      </c>
      <c r="N210" s="51" t="s">
        <v>2761</v>
      </c>
      <c r="O210" s="51"/>
      <c r="P210" s="51"/>
      <c r="Q210" s="51"/>
      <c r="R210" s="51"/>
      <c r="S210" s="51"/>
      <c r="T210" s="51"/>
      <c r="U210" s="52"/>
      <c r="V210" s="52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3" t="s">
        <v>342</v>
      </c>
      <c r="AH210" s="51"/>
      <c r="AI210" s="51"/>
      <c r="AJ210" s="51"/>
      <c r="AK210" s="50" t="str">
        <f>IFERROR(__xludf.DUMMYFUNCTION("""COMPUTED_VALUE"""),"62941819000100")</f>
        <v>62941819000100</v>
      </c>
    </row>
    <row r="211" ht="15.75" customHeight="1">
      <c r="A211" s="41">
        <v>701.0</v>
      </c>
      <c r="B211" s="41" t="s">
        <v>2398</v>
      </c>
      <c r="C211" s="41" t="s">
        <v>2395</v>
      </c>
      <c r="D211" s="41" t="s">
        <v>2768</v>
      </c>
      <c r="E211" s="41" t="s">
        <v>252</v>
      </c>
      <c r="F211" s="41" t="s">
        <v>2397</v>
      </c>
      <c r="G211" s="41" t="s">
        <v>277</v>
      </c>
      <c r="H211" s="42" t="s">
        <v>670</v>
      </c>
      <c r="I211" s="42">
        <v>1692.0</v>
      </c>
      <c r="J211" s="42"/>
      <c r="K211" s="42" t="s">
        <v>673</v>
      </c>
      <c r="L211" s="42" t="s">
        <v>704</v>
      </c>
      <c r="M211" s="42" t="s">
        <v>41</v>
      </c>
      <c r="N211" s="42" t="s">
        <v>676</v>
      </c>
      <c r="O211" s="42"/>
      <c r="P211" s="42"/>
      <c r="Q211" s="43"/>
      <c r="R211" s="43"/>
      <c r="S211" s="43"/>
      <c r="T211" s="43"/>
      <c r="U211" s="45"/>
      <c r="V211" s="45"/>
      <c r="W211" s="46"/>
      <c r="X211" s="46"/>
      <c r="Y211" s="46"/>
      <c r="Z211" s="46"/>
      <c r="AA211" s="46"/>
      <c r="AB211" s="46"/>
      <c r="AC211" s="46"/>
      <c r="AD211" s="47"/>
      <c r="AE211" s="47"/>
      <c r="AF211" s="47"/>
      <c r="AG211" s="48" t="s">
        <v>342</v>
      </c>
      <c r="AH211" s="47"/>
      <c r="AI211" s="49"/>
      <c r="AJ211" s="49"/>
      <c r="AK211" s="50" t="str">
        <f>IFERROR(__xludf.DUMMYFUNCTION("""COMPUTED_VALUE"""),"62941819000291")</f>
        <v>62941819000291</v>
      </c>
    </row>
    <row r="212" ht="15.75" customHeight="1">
      <c r="A212" s="51">
        <v>800.0</v>
      </c>
      <c r="B212" s="51" t="s">
        <v>2403</v>
      </c>
      <c r="C212" s="51" t="s">
        <v>2402</v>
      </c>
      <c r="D212" s="51" t="s">
        <v>2769</v>
      </c>
      <c r="E212" s="51" t="s">
        <v>252</v>
      </c>
      <c r="F212" s="51" t="s">
        <v>2405</v>
      </c>
      <c r="G212" s="51" t="s">
        <v>194</v>
      </c>
      <c r="H212" s="51" t="s">
        <v>2404</v>
      </c>
      <c r="I212" s="51">
        <v>1692.0</v>
      </c>
      <c r="J212" s="51"/>
      <c r="K212" s="51" t="s">
        <v>673</v>
      </c>
      <c r="L212" s="51" t="s">
        <v>704</v>
      </c>
      <c r="M212" s="51" t="s">
        <v>41</v>
      </c>
      <c r="N212" s="51" t="s">
        <v>676</v>
      </c>
      <c r="O212" s="51"/>
      <c r="P212" s="51"/>
      <c r="Q212" s="51"/>
      <c r="R212" s="51"/>
      <c r="S212" s="67" t="s">
        <v>2770</v>
      </c>
      <c r="T212" s="67" t="s">
        <v>2771</v>
      </c>
      <c r="U212" s="52"/>
      <c r="V212" s="52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3" t="s">
        <v>204</v>
      </c>
      <c r="AH212" s="51"/>
      <c r="AI212" s="51"/>
      <c r="AJ212" s="51"/>
      <c r="AK212" s="50" t="str">
        <f>IFERROR(__xludf.DUMMYFUNCTION("""COMPUTED_VALUE"""),"67029614000177")</f>
        <v>67029614000177</v>
      </c>
    </row>
    <row r="213" ht="15.75" customHeight="1">
      <c r="A213" s="41">
        <v>801.0</v>
      </c>
      <c r="B213" s="41" t="s">
        <v>2407</v>
      </c>
      <c r="C213" s="41" t="s">
        <v>2406</v>
      </c>
      <c r="D213" s="68" t="s">
        <v>2772</v>
      </c>
      <c r="E213" s="41" t="s">
        <v>252</v>
      </c>
      <c r="F213" s="41" t="s">
        <v>2405</v>
      </c>
      <c r="G213" s="41" t="s">
        <v>194</v>
      </c>
      <c r="H213" s="42" t="s">
        <v>2411</v>
      </c>
      <c r="I213" s="42">
        <v>1890.0</v>
      </c>
      <c r="J213" s="42"/>
      <c r="K213" s="42" t="s">
        <v>2410</v>
      </c>
      <c r="L213" s="42" t="s">
        <v>2409</v>
      </c>
      <c r="M213" s="42" t="s">
        <v>136</v>
      </c>
      <c r="N213" s="42" t="s">
        <v>2773</v>
      </c>
      <c r="O213" s="69" t="s">
        <v>2774</v>
      </c>
      <c r="P213" s="42"/>
      <c r="Q213" s="43"/>
      <c r="R213" s="70" t="s">
        <v>2775</v>
      </c>
      <c r="S213" s="70" t="s">
        <v>2776</v>
      </c>
      <c r="T213" s="70" t="s">
        <v>2777</v>
      </c>
      <c r="U213" s="45"/>
      <c r="V213" s="45"/>
      <c r="W213" s="46"/>
      <c r="X213" s="46"/>
      <c r="Y213" s="46"/>
      <c r="Z213" s="46"/>
      <c r="AA213" s="46"/>
      <c r="AB213" s="46"/>
      <c r="AC213" s="46"/>
      <c r="AD213" s="47"/>
      <c r="AE213" s="47"/>
      <c r="AF213" s="47"/>
      <c r="AG213" s="48" t="s">
        <v>204</v>
      </c>
      <c r="AH213" s="47"/>
      <c r="AI213" s="49"/>
      <c r="AJ213" s="49"/>
      <c r="AK213" s="50" t="str">
        <f>IFERROR(__xludf.DUMMYFUNCTION("""COMPUTED_VALUE"""),"40159753002102")</f>
        <v>40159753002102</v>
      </c>
    </row>
    <row r="214" ht="15.75" customHeight="1">
      <c r="A214" s="51">
        <v>802.0</v>
      </c>
      <c r="B214" s="51" t="s">
        <v>2412</v>
      </c>
      <c r="C214" s="51" t="s">
        <v>2406</v>
      </c>
      <c r="D214" s="53" t="s">
        <v>2778</v>
      </c>
      <c r="E214" s="51" t="s">
        <v>252</v>
      </c>
      <c r="F214" s="51" t="s">
        <v>2405</v>
      </c>
      <c r="G214" s="51" t="s">
        <v>194</v>
      </c>
      <c r="H214" s="51" t="s">
        <v>2411</v>
      </c>
      <c r="I214" s="51">
        <v>3100.0</v>
      </c>
      <c r="J214" s="51"/>
      <c r="K214" s="51" t="s">
        <v>2410</v>
      </c>
      <c r="L214" s="51" t="s">
        <v>2409</v>
      </c>
      <c r="M214" s="51" t="s">
        <v>136</v>
      </c>
      <c r="N214" s="51" t="s">
        <v>2773</v>
      </c>
      <c r="O214" s="71" t="s">
        <v>2774</v>
      </c>
      <c r="P214" s="51"/>
      <c r="Q214" s="51"/>
      <c r="R214" s="53" t="s">
        <v>2779</v>
      </c>
      <c r="S214" s="71" t="s">
        <v>2780</v>
      </c>
      <c r="T214" s="71" t="s">
        <v>2781</v>
      </c>
      <c r="U214" s="72">
        <v>0.4166666666666667</v>
      </c>
      <c r="V214" s="72">
        <v>0.9166666666666666</v>
      </c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3" t="s">
        <v>204</v>
      </c>
      <c r="AH214" s="51"/>
      <c r="AI214" s="51"/>
      <c r="AJ214" s="51"/>
      <c r="AK214" s="50" t="str">
        <f>IFERROR(__xludf.DUMMYFUNCTION("""COMPUTED_VALUE"""),"40159753002455")</f>
        <v>40159753002455</v>
      </c>
    </row>
    <row r="215" ht="15.75" customHeight="1">
      <c r="A215" s="41">
        <v>803.0</v>
      </c>
      <c r="B215" s="41" t="s">
        <v>2414</v>
      </c>
      <c r="C215" s="41" t="s">
        <v>2406</v>
      </c>
      <c r="D215" s="68" t="s">
        <v>2782</v>
      </c>
      <c r="E215" s="41" t="s">
        <v>252</v>
      </c>
      <c r="F215" s="41" t="s">
        <v>2405</v>
      </c>
      <c r="G215" s="41" t="s">
        <v>194</v>
      </c>
      <c r="H215" s="42" t="s">
        <v>2417</v>
      </c>
      <c r="I215" s="42">
        <v>2450.0</v>
      </c>
      <c r="J215" s="42"/>
      <c r="K215" s="42" t="s">
        <v>2416</v>
      </c>
      <c r="L215" s="42" t="s">
        <v>2415</v>
      </c>
      <c r="M215" s="42" t="s">
        <v>136</v>
      </c>
      <c r="N215" s="42" t="s">
        <v>2783</v>
      </c>
      <c r="O215" s="69" t="s">
        <v>2774</v>
      </c>
      <c r="P215" s="42"/>
      <c r="Q215" s="43"/>
      <c r="R215" s="70" t="s">
        <v>2784</v>
      </c>
      <c r="S215" s="70" t="s">
        <v>2785</v>
      </c>
      <c r="T215" s="70" t="s">
        <v>2786</v>
      </c>
      <c r="U215" s="45"/>
      <c r="V215" s="45"/>
      <c r="W215" s="46"/>
      <c r="X215" s="46"/>
      <c r="Y215" s="46"/>
      <c r="Z215" s="46"/>
      <c r="AA215" s="46"/>
      <c r="AB215" s="46"/>
      <c r="AC215" s="46"/>
      <c r="AD215" s="47"/>
      <c r="AE215" s="47"/>
      <c r="AF215" s="47"/>
      <c r="AG215" s="48" t="s">
        <v>204</v>
      </c>
      <c r="AH215" s="47"/>
      <c r="AI215" s="49"/>
      <c r="AJ215" s="49"/>
      <c r="AK215" s="50" t="str">
        <f>IFERROR(__xludf.DUMMYFUNCTION("""COMPUTED_VALUE"""),"40159753003184")</f>
        <v>40159753003184</v>
      </c>
    </row>
    <row r="216" ht="15.75" customHeight="1">
      <c r="A216" s="51">
        <v>804.0</v>
      </c>
      <c r="B216" s="51" t="s">
        <v>2418</v>
      </c>
      <c r="C216" s="51" t="s">
        <v>2406</v>
      </c>
      <c r="D216" s="53" t="s">
        <v>2787</v>
      </c>
      <c r="E216" s="51" t="s">
        <v>252</v>
      </c>
      <c r="F216" s="51" t="s">
        <v>2405</v>
      </c>
      <c r="G216" s="51" t="s">
        <v>194</v>
      </c>
      <c r="H216" s="51" t="s">
        <v>2421</v>
      </c>
      <c r="I216" s="51">
        <v>300.0</v>
      </c>
      <c r="J216" s="51"/>
      <c r="K216" s="51" t="s">
        <v>2420</v>
      </c>
      <c r="L216" s="51" t="s">
        <v>2415</v>
      </c>
      <c r="M216" s="51" t="s">
        <v>136</v>
      </c>
      <c r="N216" s="51" t="s">
        <v>2788</v>
      </c>
      <c r="O216" s="73" t="s">
        <v>2774</v>
      </c>
      <c r="P216" s="51"/>
      <c r="Q216" s="51"/>
      <c r="R216" s="53" t="s">
        <v>2789</v>
      </c>
      <c r="S216" s="71" t="s">
        <v>2790</v>
      </c>
      <c r="T216" s="71" t="s">
        <v>2791</v>
      </c>
      <c r="U216" s="72">
        <v>0.4166666666666667</v>
      </c>
      <c r="V216" s="72">
        <v>0.9166666666666666</v>
      </c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3" t="s">
        <v>204</v>
      </c>
      <c r="AH216" s="51"/>
      <c r="AI216" s="51"/>
      <c r="AJ216" s="51"/>
      <c r="AK216" s="50" t="str">
        <f>IFERROR(__xludf.DUMMYFUNCTION("""COMPUTED_VALUE"""),"40159753002889")</f>
        <v>40159753002889</v>
      </c>
    </row>
    <row r="217" ht="15.75" customHeight="1">
      <c r="A217" s="41">
        <v>805.0</v>
      </c>
      <c r="B217" s="41" t="s">
        <v>2422</v>
      </c>
      <c r="C217" s="41" t="s">
        <v>2406</v>
      </c>
      <c r="D217" s="68" t="s">
        <v>2792</v>
      </c>
      <c r="E217" s="41" t="s">
        <v>252</v>
      </c>
      <c r="F217" s="41" t="s">
        <v>2405</v>
      </c>
      <c r="G217" s="41" t="s">
        <v>194</v>
      </c>
      <c r="H217" s="42" t="s">
        <v>2425</v>
      </c>
      <c r="I217" s="42">
        <v>419.0</v>
      </c>
      <c r="J217" s="42"/>
      <c r="K217" s="42" t="s">
        <v>2424</v>
      </c>
      <c r="L217" s="42" t="s">
        <v>2415</v>
      </c>
      <c r="M217" s="42" t="s">
        <v>136</v>
      </c>
      <c r="N217" s="42" t="s">
        <v>2793</v>
      </c>
      <c r="O217" s="69" t="s">
        <v>2774</v>
      </c>
      <c r="P217" s="42"/>
      <c r="Q217" s="43"/>
      <c r="R217" s="70" t="s">
        <v>2794</v>
      </c>
      <c r="S217" s="70" t="s">
        <v>2795</v>
      </c>
      <c r="T217" s="70" t="s">
        <v>2796</v>
      </c>
      <c r="U217" s="66">
        <v>0.4166666666666667</v>
      </c>
      <c r="V217" s="66">
        <v>0.9166666666666666</v>
      </c>
      <c r="W217" s="46"/>
      <c r="X217" s="46"/>
      <c r="Y217" s="46"/>
      <c r="Z217" s="46"/>
      <c r="AA217" s="46"/>
      <c r="AB217" s="46"/>
      <c r="AC217" s="46"/>
      <c r="AD217" s="47"/>
      <c r="AE217" s="47"/>
      <c r="AF217" s="47"/>
      <c r="AG217" s="48" t="s">
        <v>204</v>
      </c>
      <c r="AH217" s="47"/>
      <c r="AI217" s="49"/>
      <c r="AJ217" s="49"/>
      <c r="AK217" s="50" t="str">
        <f>IFERROR(__xludf.DUMMYFUNCTION("""COMPUTED_VALUE"""),"40159753002960")</f>
        <v>40159753002960</v>
      </c>
    </row>
    <row r="218" ht="15.75" customHeight="1">
      <c r="A218" s="51">
        <v>806.0</v>
      </c>
      <c r="B218" s="51" t="s">
        <v>2426</v>
      </c>
      <c r="C218" s="51" t="s">
        <v>2406</v>
      </c>
      <c r="D218" s="53" t="s">
        <v>2797</v>
      </c>
      <c r="E218" s="51" t="s">
        <v>252</v>
      </c>
      <c r="F218" s="51" t="s">
        <v>2405</v>
      </c>
      <c r="G218" s="51" t="s">
        <v>194</v>
      </c>
      <c r="H218" s="51" t="s">
        <v>2428</v>
      </c>
      <c r="I218" s="51">
        <v>617.0</v>
      </c>
      <c r="J218" s="51"/>
      <c r="K218" s="51" t="s">
        <v>2427</v>
      </c>
      <c r="L218" s="51" t="s">
        <v>2415</v>
      </c>
      <c r="M218" s="51" t="s">
        <v>136</v>
      </c>
      <c r="N218" s="51" t="s">
        <v>2798</v>
      </c>
      <c r="O218" s="71" t="s">
        <v>2774</v>
      </c>
      <c r="P218" s="51"/>
      <c r="Q218" s="51"/>
      <c r="R218" s="53" t="s">
        <v>2799</v>
      </c>
      <c r="S218" s="53" t="s">
        <v>2800</v>
      </c>
      <c r="T218" s="53" t="s">
        <v>2801</v>
      </c>
      <c r="U218" s="72"/>
      <c r="V218" s="52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3" t="s">
        <v>204</v>
      </c>
      <c r="AH218" s="51"/>
      <c r="AI218" s="51"/>
      <c r="AJ218" s="51"/>
      <c r="AK218" s="50" t="str">
        <f>IFERROR(__xludf.DUMMYFUNCTION("""COMPUTED_VALUE"""),"40159753002617")</f>
        <v>40159753002617</v>
      </c>
    </row>
    <row r="219" ht="15.75" customHeight="1">
      <c r="A219" s="41">
        <v>807.0</v>
      </c>
      <c r="B219" s="41" t="s">
        <v>2430</v>
      </c>
      <c r="C219" s="41" t="s">
        <v>2406</v>
      </c>
      <c r="D219" s="68" t="s">
        <v>2802</v>
      </c>
      <c r="E219" s="41" t="s">
        <v>252</v>
      </c>
      <c r="F219" s="41" t="s">
        <v>2405</v>
      </c>
      <c r="G219" s="41" t="s">
        <v>194</v>
      </c>
      <c r="H219" s="42" t="s">
        <v>2432</v>
      </c>
      <c r="I219" s="42">
        <v>1500.0</v>
      </c>
      <c r="J219" s="42"/>
      <c r="K219" s="42" t="s">
        <v>2431</v>
      </c>
      <c r="L219" s="42" t="s">
        <v>2415</v>
      </c>
      <c r="M219" s="42" t="s">
        <v>136</v>
      </c>
      <c r="N219" s="42" t="s">
        <v>2803</v>
      </c>
      <c r="O219" s="69" t="s">
        <v>2774</v>
      </c>
      <c r="P219" s="42"/>
      <c r="Q219" s="43"/>
      <c r="R219" s="70" t="s">
        <v>2804</v>
      </c>
      <c r="S219" s="70" t="s">
        <v>2805</v>
      </c>
      <c r="T219" s="70" t="s">
        <v>2806</v>
      </c>
      <c r="U219" s="66">
        <v>0.4166666666666667</v>
      </c>
      <c r="V219" s="66">
        <v>0.9166666666666666</v>
      </c>
      <c r="W219" s="46"/>
      <c r="X219" s="46"/>
      <c r="Y219" s="46"/>
      <c r="Z219" s="46"/>
      <c r="AA219" s="46"/>
      <c r="AB219" s="46"/>
      <c r="AC219" s="46"/>
      <c r="AD219" s="47"/>
      <c r="AE219" s="47"/>
      <c r="AF219" s="47"/>
      <c r="AG219" s="48" t="s">
        <v>204</v>
      </c>
      <c r="AH219" s="47"/>
      <c r="AI219" s="49"/>
      <c r="AJ219" s="49"/>
      <c r="AK219" s="50" t="str">
        <f>IFERROR(__xludf.DUMMYFUNCTION("""COMPUTED_VALUE"""),"40159753002706")</f>
        <v>40159753002706</v>
      </c>
    </row>
    <row r="220" ht="15.75" customHeight="1">
      <c r="A220" s="51">
        <v>808.0</v>
      </c>
      <c r="B220" s="51" t="s">
        <v>2433</v>
      </c>
      <c r="C220" s="51" t="s">
        <v>2406</v>
      </c>
      <c r="D220" s="53" t="s">
        <v>2807</v>
      </c>
      <c r="E220" s="51" t="s">
        <v>252</v>
      </c>
      <c r="F220" s="51" t="s">
        <v>2405</v>
      </c>
      <c r="G220" s="51" t="s">
        <v>194</v>
      </c>
      <c r="H220" s="51" t="s">
        <v>2435</v>
      </c>
      <c r="I220" s="51">
        <v>85.0</v>
      </c>
      <c r="J220" s="51"/>
      <c r="K220" s="51" t="s">
        <v>2434</v>
      </c>
      <c r="L220" s="51" t="s">
        <v>2415</v>
      </c>
      <c r="M220" s="51" t="s">
        <v>136</v>
      </c>
      <c r="N220" s="51" t="s">
        <v>2808</v>
      </c>
      <c r="O220" s="71" t="s">
        <v>2774</v>
      </c>
      <c r="P220" s="51"/>
      <c r="Q220" s="51"/>
      <c r="R220" s="53" t="s">
        <v>2809</v>
      </c>
      <c r="S220" s="53" t="s">
        <v>2810</v>
      </c>
      <c r="T220" s="53" t="s">
        <v>2811</v>
      </c>
      <c r="U220" s="52"/>
      <c r="V220" s="52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3" t="s">
        <v>204</v>
      </c>
      <c r="AH220" s="51"/>
      <c r="AI220" s="51"/>
      <c r="AJ220" s="51"/>
      <c r="AK220" s="50" t="str">
        <f>IFERROR(__xludf.DUMMYFUNCTION("""COMPUTED_VALUE"""),"40159753003001")</f>
        <v>40159753003001</v>
      </c>
    </row>
    <row r="221" ht="15.75" customHeight="1">
      <c r="A221" s="41">
        <v>809.0</v>
      </c>
      <c r="B221" s="41" t="s">
        <v>2437</v>
      </c>
      <c r="C221" s="41" t="s">
        <v>2406</v>
      </c>
      <c r="D221" s="68" t="s">
        <v>2812</v>
      </c>
      <c r="E221" s="41" t="s">
        <v>252</v>
      </c>
      <c r="F221" s="41" t="s">
        <v>2405</v>
      </c>
      <c r="G221" s="41" t="s">
        <v>194</v>
      </c>
      <c r="H221" s="42" t="s">
        <v>2439</v>
      </c>
      <c r="I221" s="42">
        <v>3840.0</v>
      </c>
      <c r="J221" s="42"/>
      <c r="K221" s="42" t="s">
        <v>2438</v>
      </c>
      <c r="L221" s="42" t="s">
        <v>2415</v>
      </c>
      <c r="M221" s="42" t="s">
        <v>136</v>
      </c>
      <c r="N221" s="42" t="s">
        <v>2813</v>
      </c>
      <c r="O221" s="69" t="s">
        <v>2774</v>
      </c>
      <c r="P221" s="42"/>
      <c r="Q221" s="43"/>
      <c r="R221" s="70" t="s">
        <v>2814</v>
      </c>
      <c r="S221" s="70" t="s">
        <v>2815</v>
      </c>
      <c r="T221" s="70" t="s">
        <v>2816</v>
      </c>
      <c r="U221" s="66">
        <v>0.4166666666666667</v>
      </c>
      <c r="V221" s="66">
        <v>0.8333333333333334</v>
      </c>
      <c r="W221" s="46"/>
      <c r="X221" s="46"/>
      <c r="Y221" s="46"/>
      <c r="Z221" s="46"/>
      <c r="AA221" s="46"/>
      <c r="AB221" s="46"/>
      <c r="AC221" s="46"/>
      <c r="AD221" s="47"/>
      <c r="AE221" s="47"/>
      <c r="AF221" s="47"/>
      <c r="AG221" s="48" t="s">
        <v>204</v>
      </c>
      <c r="AH221" s="47"/>
      <c r="AI221" s="49"/>
      <c r="AJ221" s="49"/>
      <c r="AK221" s="50" t="str">
        <f>IFERROR(__xludf.DUMMYFUNCTION("""COMPUTED_VALUE"""),"40159753002374")</f>
        <v>40159753002374</v>
      </c>
    </row>
    <row r="222" ht="15.75" customHeight="1">
      <c r="A222" s="51">
        <v>810.0</v>
      </c>
      <c r="B222" s="51" t="s">
        <v>2440</v>
      </c>
      <c r="C222" s="51" t="s">
        <v>2406</v>
      </c>
      <c r="D222" s="53" t="s">
        <v>2817</v>
      </c>
      <c r="E222" s="51" t="s">
        <v>252</v>
      </c>
      <c r="F222" s="51" t="s">
        <v>2405</v>
      </c>
      <c r="G222" s="51" t="s">
        <v>194</v>
      </c>
      <c r="H222" s="51" t="s">
        <v>2443</v>
      </c>
      <c r="I222" s="51"/>
      <c r="J222" s="51"/>
      <c r="K222" s="51" t="s">
        <v>2442</v>
      </c>
      <c r="L222" s="51" t="s">
        <v>2441</v>
      </c>
      <c r="M222" s="51" t="s">
        <v>105</v>
      </c>
      <c r="N222" s="51" t="s">
        <v>2818</v>
      </c>
      <c r="O222" s="29" t="s">
        <v>2819</v>
      </c>
      <c r="P222" s="51"/>
      <c r="Q222" s="51"/>
      <c r="R222" s="53" t="s">
        <v>2820</v>
      </c>
      <c r="S222" s="53" t="s">
        <v>2821</v>
      </c>
      <c r="T222" s="53" t="s">
        <v>2822</v>
      </c>
      <c r="U222" s="52"/>
      <c r="V222" s="52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3" t="s">
        <v>204</v>
      </c>
      <c r="AH222" s="51"/>
      <c r="AI222" s="51"/>
      <c r="AJ222" s="51"/>
      <c r="AK222" s="50" t="str">
        <f>IFERROR(__xludf.DUMMYFUNCTION("""COMPUTED_VALUE"""),"67029614001572")</f>
        <v>67029614001572</v>
      </c>
    </row>
    <row r="223" ht="15.75" customHeight="1">
      <c r="A223" s="41">
        <v>811.0</v>
      </c>
      <c r="B223" s="41" t="s">
        <v>2445</v>
      </c>
      <c r="C223" s="41" t="s">
        <v>2406</v>
      </c>
      <c r="D223" s="68" t="s">
        <v>2823</v>
      </c>
      <c r="E223" s="41" t="s">
        <v>252</v>
      </c>
      <c r="F223" s="41" t="s">
        <v>2405</v>
      </c>
      <c r="G223" s="41" t="s">
        <v>194</v>
      </c>
      <c r="H223" s="42" t="s">
        <v>2449</v>
      </c>
      <c r="I223" s="42">
        <v>4630.0</v>
      </c>
      <c r="J223" s="42"/>
      <c r="K223" s="42" t="s">
        <v>39</v>
      </c>
      <c r="L223" s="42" t="s">
        <v>2447</v>
      </c>
      <c r="M223" s="42" t="s">
        <v>105</v>
      </c>
      <c r="N223" s="42" t="s">
        <v>2824</v>
      </c>
      <c r="O223" s="74" t="s">
        <v>2819</v>
      </c>
      <c r="P223" s="42"/>
      <c r="Q223" s="43"/>
      <c r="R223" s="70" t="s">
        <v>2825</v>
      </c>
      <c r="S223" s="70" t="s">
        <v>2826</v>
      </c>
      <c r="T223" s="70" t="s">
        <v>2827</v>
      </c>
      <c r="U223" s="66">
        <v>0.4166666666666667</v>
      </c>
      <c r="V223" s="66">
        <v>0.8333333333333334</v>
      </c>
      <c r="W223" s="46"/>
      <c r="X223" s="46"/>
      <c r="Y223" s="46"/>
      <c r="Z223" s="46"/>
      <c r="AA223" s="46"/>
      <c r="AB223" s="46"/>
      <c r="AC223" s="46"/>
      <c r="AD223" s="47"/>
      <c r="AE223" s="47"/>
      <c r="AF223" s="47"/>
      <c r="AG223" s="48" t="s">
        <v>204</v>
      </c>
      <c r="AH223" s="47"/>
      <c r="AI223" s="49"/>
      <c r="AJ223" s="49"/>
      <c r="AK223" s="50" t="str">
        <f>IFERROR(__xludf.DUMMYFUNCTION("""COMPUTED_VALUE"""),"67029614001068")</f>
        <v>67029614001068</v>
      </c>
    </row>
    <row r="224" ht="15.75" customHeight="1">
      <c r="A224" s="51">
        <v>812.0</v>
      </c>
      <c r="B224" s="51" t="s">
        <v>2450</v>
      </c>
      <c r="C224" s="51" t="s">
        <v>2406</v>
      </c>
      <c r="D224" s="53" t="s">
        <v>2828</v>
      </c>
      <c r="E224" s="51" t="s">
        <v>252</v>
      </c>
      <c r="F224" s="51" t="s">
        <v>2405</v>
      </c>
      <c r="G224" s="51" t="s">
        <v>194</v>
      </c>
      <c r="H224" s="51" t="s">
        <v>2454</v>
      </c>
      <c r="I224" s="51">
        <v>305.0</v>
      </c>
      <c r="J224" s="51"/>
      <c r="K224" s="51" t="s">
        <v>2453</v>
      </c>
      <c r="L224" s="51" t="s">
        <v>2452</v>
      </c>
      <c r="M224" s="51" t="s">
        <v>105</v>
      </c>
      <c r="N224" s="51" t="s">
        <v>2829</v>
      </c>
      <c r="O224" s="29" t="s">
        <v>2819</v>
      </c>
      <c r="P224" s="51"/>
      <c r="Q224" s="51"/>
      <c r="R224" s="53" t="s">
        <v>2830</v>
      </c>
      <c r="S224" s="53" t="s">
        <v>2831</v>
      </c>
      <c r="T224" s="53" t="s">
        <v>2832</v>
      </c>
      <c r="U224" s="52"/>
      <c r="V224" s="52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3" t="s">
        <v>204</v>
      </c>
      <c r="AH224" s="51"/>
      <c r="AI224" s="51"/>
      <c r="AJ224" s="51"/>
      <c r="AK224" s="50" t="str">
        <f>IFERROR(__xludf.DUMMYFUNCTION("""COMPUTED_VALUE"""),"67029614001653")</f>
        <v>67029614001653</v>
      </c>
    </row>
    <row r="225" ht="15.75" customHeight="1">
      <c r="A225" s="41">
        <v>813.0</v>
      </c>
      <c r="B225" s="41" t="s">
        <v>2456</v>
      </c>
      <c r="C225" s="41" t="s">
        <v>2406</v>
      </c>
      <c r="D225" s="68" t="s">
        <v>2833</v>
      </c>
      <c r="E225" s="41" t="s">
        <v>252</v>
      </c>
      <c r="F225" s="41" t="s">
        <v>2405</v>
      </c>
      <c r="G225" s="41" t="s">
        <v>194</v>
      </c>
      <c r="H225" s="42" t="s">
        <v>2459</v>
      </c>
      <c r="I225" s="42">
        <v>8544.0</v>
      </c>
      <c r="J225" s="42"/>
      <c r="K225" s="42" t="s">
        <v>2458</v>
      </c>
      <c r="L225" s="42" t="s">
        <v>2452</v>
      </c>
      <c r="M225" s="42" t="s">
        <v>105</v>
      </c>
      <c r="N225" s="42" t="s">
        <v>2834</v>
      </c>
      <c r="O225" s="74" t="s">
        <v>2819</v>
      </c>
      <c r="P225" s="42"/>
      <c r="Q225" s="43"/>
      <c r="R225" s="70" t="s">
        <v>2835</v>
      </c>
      <c r="S225" s="70" t="s">
        <v>2836</v>
      </c>
      <c r="T225" s="70" t="s">
        <v>2837</v>
      </c>
      <c r="U225" s="45"/>
      <c r="V225" s="45"/>
      <c r="W225" s="46"/>
      <c r="X225" s="46"/>
      <c r="Y225" s="46"/>
      <c r="Z225" s="46"/>
      <c r="AA225" s="46"/>
      <c r="AB225" s="46"/>
      <c r="AC225" s="46"/>
      <c r="AD225" s="47"/>
      <c r="AE225" s="47"/>
      <c r="AF225" s="47"/>
      <c r="AG225" s="48" t="s">
        <v>204</v>
      </c>
      <c r="AH225" s="47"/>
      <c r="AI225" s="49"/>
      <c r="AJ225" s="49"/>
      <c r="AK225" s="50" t="str">
        <f>IFERROR(__xludf.DUMMYFUNCTION("""COMPUTED_VALUE"""),"67029614001149")</f>
        <v>67029614001149</v>
      </c>
    </row>
    <row r="226" ht="15.75" customHeight="1">
      <c r="A226" s="51">
        <v>814.0</v>
      </c>
      <c r="B226" s="51" t="s">
        <v>2461</v>
      </c>
      <c r="C226" s="51" t="s">
        <v>2406</v>
      </c>
      <c r="D226" s="53" t="s">
        <v>2838</v>
      </c>
      <c r="E226" s="51" t="s">
        <v>252</v>
      </c>
      <c r="F226" s="51" t="s">
        <v>2405</v>
      </c>
      <c r="G226" s="51" t="s">
        <v>194</v>
      </c>
      <c r="H226" s="51" t="s">
        <v>2464</v>
      </c>
      <c r="I226" s="51">
        <v>3133.0</v>
      </c>
      <c r="J226" s="51"/>
      <c r="K226" s="51" t="s">
        <v>2463</v>
      </c>
      <c r="L226" s="51" t="s">
        <v>2452</v>
      </c>
      <c r="M226" s="51" t="s">
        <v>105</v>
      </c>
      <c r="N226" s="51" t="s">
        <v>2839</v>
      </c>
      <c r="O226" s="29" t="s">
        <v>2819</v>
      </c>
      <c r="P226" s="51"/>
      <c r="Q226" s="51"/>
      <c r="R226" s="53" t="s">
        <v>2840</v>
      </c>
      <c r="S226" s="53" t="s">
        <v>2841</v>
      </c>
      <c r="T226" s="53" t="s">
        <v>2842</v>
      </c>
      <c r="U226" s="52"/>
      <c r="V226" s="52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3" t="s">
        <v>204</v>
      </c>
      <c r="AH226" s="51"/>
      <c r="AI226" s="51"/>
      <c r="AJ226" s="51"/>
      <c r="AK226" s="50" t="str">
        <f>IFERROR(__xludf.DUMMYFUNCTION("""COMPUTED_VALUE"""),"67029614000924")</f>
        <v>67029614000924</v>
      </c>
    </row>
    <row r="227" ht="15.75" customHeight="1">
      <c r="A227" s="41">
        <v>815.0</v>
      </c>
      <c r="B227" s="41" t="s">
        <v>2466</v>
      </c>
      <c r="C227" s="41" t="s">
        <v>2406</v>
      </c>
      <c r="D227" s="68" t="s">
        <v>2843</v>
      </c>
      <c r="E227" s="41" t="s">
        <v>252</v>
      </c>
      <c r="F227" s="41" t="s">
        <v>2405</v>
      </c>
      <c r="G227" s="41" t="s">
        <v>194</v>
      </c>
      <c r="H227" s="42" t="s">
        <v>2464</v>
      </c>
      <c r="I227" s="42">
        <v>148.0</v>
      </c>
      <c r="J227" s="42"/>
      <c r="K227" s="42" t="s">
        <v>2463</v>
      </c>
      <c r="L227" s="42" t="s">
        <v>2452</v>
      </c>
      <c r="M227" s="42" t="s">
        <v>105</v>
      </c>
      <c r="N227" s="42" t="s">
        <v>2844</v>
      </c>
      <c r="O227" s="74" t="s">
        <v>2819</v>
      </c>
      <c r="P227" s="42"/>
      <c r="Q227" s="43"/>
      <c r="R227" s="70" t="s">
        <v>2845</v>
      </c>
      <c r="S227" s="70" t="s">
        <v>2846</v>
      </c>
      <c r="T227" s="70" t="s">
        <v>2847</v>
      </c>
      <c r="U227" s="45"/>
      <c r="V227" s="45"/>
      <c r="W227" s="46"/>
      <c r="X227" s="46"/>
      <c r="Y227" s="46"/>
      <c r="Z227" s="46"/>
      <c r="AA227" s="46"/>
      <c r="AB227" s="46"/>
      <c r="AC227" s="46"/>
      <c r="AD227" s="47"/>
      <c r="AE227" s="47"/>
      <c r="AF227" s="47"/>
      <c r="AG227" s="48" t="s">
        <v>204</v>
      </c>
      <c r="AH227" s="47"/>
      <c r="AI227" s="49"/>
      <c r="AJ227" s="49"/>
      <c r="AK227" s="50" t="str">
        <f>IFERROR(__xludf.DUMMYFUNCTION("""COMPUTED_VALUE"""),"67029614001220")</f>
        <v>67029614001220</v>
      </c>
    </row>
    <row r="228" ht="15.75" customHeight="1">
      <c r="A228" s="51">
        <v>816.0</v>
      </c>
      <c r="B228" s="51" t="s">
        <v>2468</v>
      </c>
      <c r="C228" s="51" t="s">
        <v>2406</v>
      </c>
      <c r="D228" s="53" t="s">
        <v>2848</v>
      </c>
      <c r="E228" s="51" t="s">
        <v>252</v>
      </c>
      <c r="F228" s="51" t="s">
        <v>2405</v>
      </c>
      <c r="G228" s="51" t="s">
        <v>194</v>
      </c>
      <c r="H228" s="51" t="s">
        <v>2470</v>
      </c>
      <c r="I228" s="51">
        <v>1317.0</v>
      </c>
      <c r="J228" s="51"/>
      <c r="K228" s="51" t="s">
        <v>2469</v>
      </c>
      <c r="L228" s="51" t="s">
        <v>2452</v>
      </c>
      <c r="M228" s="51" t="s">
        <v>105</v>
      </c>
      <c r="N228" s="51" t="s">
        <v>2849</v>
      </c>
      <c r="O228" s="29" t="s">
        <v>2819</v>
      </c>
      <c r="P228" s="51"/>
      <c r="Q228" s="51"/>
      <c r="R228" s="53" t="s">
        <v>2850</v>
      </c>
      <c r="S228" s="53" t="s">
        <v>2851</v>
      </c>
      <c r="T228" s="53" t="s">
        <v>2852</v>
      </c>
      <c r="U228" s="52"/>
      <c r="V228" s="52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3" t="s">
        <v>204</v>
      </c>
      <c r="AH228" s="51"/>
      <c r="AI228" s="51"/>
      <c r="AJ228" s="51"/>
      <c r="AK228" s="50" t="str">
        <f>IFERROR(__xludf.DUMMYFUNCTION("""COMPUTED_VALUE"""),"67029614001300")</f>
        <v>67029614001300</v>
      </c>
    </row>
    <row r="229" ht="15.75" customHeight="1">
      <c r="A229" s="41">
        <v>817.0</v>
      </c>
      <c r="B229" s="41" t="s">
        <v>2471</v>
      </c>
      <c r="C229" s="41" t="s">
        <v>2406</v>
      </c>
      <c r="D229" s="68" t="s">
        <v>2853</v>
      </c>
      <c r="E229" s="41" t="s">
        <v>252</v>
      </c>
      <c r="F229" s="41" t="s">
        <v>2405</v>
      </c>
      <c r="G229" s="41" t="s">
        <v>194</v>
      </c>
      <c r="H229" s="42" t="s">
        <v>2473</v>
      </c>
      <c r="I229" s="42">
        <v>92.0</v>
      </c>
      <c r="J229" s="42"/>
      <c r="K229" s="42" t="s">
        <v>2472</v>
      </c>
      <c r="L229" s="42" t="s">
        <v>2452</v>
      </c>
      <c r="M229" s="42" t="s">
        <v>105</v>
      </c>
      <c r="N229" s="42" t="s">
        <v>2854</v>
      </c>
      <c r="O229" s="74" t="s">
        <v>2819</v>
      </c>
      <c r="P229" s="42"/>
      <c r="Q229" s="43"/>
      <c r="R229" s="70" t="s">
        <v>2855</v>
      </c>
      <c r="S229" s="70" t="s">
        <v>2856</v>
      </c>
      <c r="T229" s="70" t="s">
        <v>2857</v>
      </c>
      <c r="U229" s="66">
        <v>0.375</v>
      </c>
      <c r="V229" s="66">
        <v>0.75</v>
      </c>
      <c r="W229" s="46"/>
      <c r="X229" s="46"/>
      <c r="Y229" s="46"/>
      <c r="Z229" s="46"/>
      <c r="AA229" s="46"/>
      <c r="AB229" s="46"/>
      <c r="AC229" s="46"/>
      <c r="AD229" s="47"/>
      <c r="AE229" s="47"/>
      <c r="AF229" s="47"/>
      <c r="AG229" s="48" t="s">
        <v>204</v>
      </c>
      <c r="AH229" s="47"/>
      <c r="AI229" s="49"/>
      <c r="AJ229" s="49"/>
      <c r="AK229" s="50" t="str">
        <f>IFERROR(__xludf.DUMMYFUNCTION("""COMPUTED_VALUE"""),"67029614001491")</f>
        <v>67029614001491</v>
      </c>
    </row>
    <row r="230" ht="15.75" customHeight="1">
      <c r="A230" s="53">
        <v>74.0</v>
      </c>
      <c r="B230" s="51" t="s">
        <v>2477</v>
      </c>
      <c r="C230" s="51" t="s">
        <v>2406</v>
      </c>
      <c r="D230" s="53" t="s">
        <v>2858</v>
      </c>
      <c r="E230" s="51" t="s">
        <v>252</v>
      </c>
      <c r="F230" s="51" t="s">
        <v>2405</v>
      </c>
      <c r="G230" s="51" t="s">
        <v>194</v>
      </c>
      <c r="H230" s="51" t="s">
        <v>2480</v>
      </c>
      <c r="I230" s="51">
        <v>432.0</v>
      </c>
      <c r="J230" s="51"/>
      <c r="K230" s="51" t="s">
        <v>2479</v>
      </c>
      <c r="L230" s="51" t="s">
        <v>2452</v>
      </c>
      <c r="M230" s="51" t="s">
        <v>105</v>
      </c>
      <c r="N230" s="51" t="s">
        <v>2859</v>
      </c>
      <c r="O230" s="29" t="s">
        <v>2819</v>
      </c>
      <c r="P230" s="51"/>
      <c r="Q230" s="51"/>
      <c r="R230" s="53" t="s">
        <v>2860</v>
      </c>
      <c r="S230" s="53" t="s">
        <v>2861</v>
      </c>
      <c r="T230" s="53" t="s">
        <v>2861</v>
      </c>
      <c r="U230" s="52"/>
      <c r="V230" s="52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3" t="s">
        <v>204</v>
      </c>
      <c r="AH230" s="51"/>
      <c r="AI230" s="51"/>
      <c r="AJ230" s="51"/>
      <c r="AK230" s="50" t="str">
        <f>IFERROR(__xludf.DUMMYFUNCTION("""COMPUTED_VALUE"""),"67029614001734")</f>
        <v>67029614001734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H1:P1"/>
    <mergeCell ref="Q1:T1"/>
    <mergeCell ref="U1:V1"/>
    <mergeCell ref="W1:AC1"/>
    <mergeCell ref="AD1:AH1"/>
    <mergeCell ref="AI1:AJ1"/>
  </mergeCells>
  <conditionalFormatting sqref="E3:E230">
    <cfRule type="cellIs" dxfId="0" priority="1" operator="equal">
      <formula>"Aberta"</formula>
    </cfRule>
  </conditionalFormatting>
  <conditionalFormatting sqref="E3:E230">
    <cfRule type="cellIs" dxfId="1" priority="2" operator="equal">
      <formula>"Fechada"</formula>
    </cfRule>
  </conditionalFormatting>
  <conditionalFormatting sqref="E3:E230">
    <cfRule type="cellIs" dxfId="2" priority="3" operator="equal">
      <formula>"VERIFICAR"</formula>
    </cfRule>
  </conditionalFormatting>
  <dataValidations>
    <dataValidation type="list" allowBlank="1" sqref="E3:E230">
      <formula1>"Aberta,Fechada,VERIFICAR"</formula1>
    </dataValidation>
    <dataValidation type="list" allowBlank="1" sqref="M3:M230">
      <formula1>"AC,AL,AP,AM,BA,CE,DF,ES,GO,MA,MT,MS,MG,PA,PB,PR,PE,PI,RJ,RN,RS,RO,RR,SC,SP,SE,TO"</formula1>
    </dataValidation>
    <dataValidation type="list" allowBlank="1" sqref="AG3:AG230">
      <formula1>"Produção,Beta,Homologação"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14.0"/>
    <col customWidth="1" min="4" max="4" width="3.0"/>
    <col customWidth="1" min="5" max="5" width="34.0"/>
    <col customWidth="1" min="6" max="6" width="14.0"/>
    <col customWidth="1" min="7" max="26" width="8.71"/>
  </cols>
  <sheetData>
    <row r="2" ht="25.5" customHeight="1">
      <c r="B2" s="7" t="s">
        <v>2</v>
      </c>
      <c r="C2" s="3"/>
      <c r="D2" s="3"/>
      <c r="E2" s="3"/>
      <c r="F2" s="6"/>
    </row>
    <row r="4">
      <c r="B4" s="8" t="s">
        <v>22</v>
      </c>
      <c r="C4" s="10">
        <f>COUNTA('CADASTRO LOJAS'!A3:A230)</f>
        <v>228</v>
      </c>
    </row>
    <row r="5">
      <c r="B5" s="8" t="s">
        <v>36</v>
      </c>
      <c r="C5" s="13">
        <f>COUNTIF('CADASTRO LOJAS'!E3:E230,"Aberta")</f>
        <v>205</v>
      </c>
    </row>
    <row r="6">
      <c r="B6" s="8" t="s">
        <v>54</v>
      </c>
      <c r="C6" s="15">
        <f>COUNTIF('CADASTRO LOJAS'!E3:E230,"Fechada")</f>
        <v>23</v>
      </c>
    </row>
    <row r="7">
      <c r="B7" s="8" t="s">
        <v>72</v>
      </c>
      <c r="C7" s="19">
        <f>COUNTIF('CADASTRO LOJAS'!E3:E230,"VERIFICAR")</f>
        <v>0</v>
      </c>
    </row>
    <row r="10">
      <c r="B10" s="22" t="s">
        <v>90</v>
      </c>
      <c r="C10" s="6"/>
      <c r="E10" s="23" t="s">
        <v>97</v>
      </c>
      <c r="F10" s="6"/>
    </row>
    <row r="11">
      <c r="B11" s="25" t="s">
        <v>105</v>
      </c>
      <c r="C11" s="1">
        <f>COUNTIF('CADASTRO LOJAS'!M3:M230,"BA")</f>
        <v>9</v>
      </c>
      <c r="E11" s="25" t="s">
        <v>124</v>
      </c>
      <c r="F11" s="1">
        <f>COUNTIF('CADASTRO LOJAS'!G3:G230,"Geral")</f>
        <v>11</v>
      </c>
    </row>
    <row r="12">
      <c r="B12" s="25" t="s">
        <v>136</v>
      </c>
      <c r="C12" s="1">
        <f>COUNTIF('CADASTRO LOJAS'!M3:M230,"CE")</f>
        <v>9</v>
      </c>
      <c r="E12" s="25" t="s">
        <v>147</v>
      </c>
      <c r="F12" s="1">
        <f>COUNTIF('CADASTRO LOJAS'!G3:G230,"Grupo Diad")</f>
        <v>4</v>
      </c>
    </row>
    <row r="13">
      <c r="B13" s="25" t="s">
        <v>162</v>
      </c>
      <c r="C13" s="1">
        <f>COUNTIF('CADASTRO LOJAS'!M3:M230,"ES")</f>
        <v>5</v>
      </c>
      <c r="E13" s="25" t="s">
        <v>173</v>
      </c>
      <c r="F13" s="1">
        <f>COUNTIF('CADASTRO LOJAS'!G3:G230,"Grupo F1")</f>
        <v>59</v>
      </c>
    </row>
    <row r="14">
      <c r="B14" s="25" t="s">
        <v>181</v>
      </c>
      <c r="C14" s="1">
        <f>COUNTIF('CADASTRO LOJAS'!M3:M230,"MG")</f>
        <v>5</v>
      </c>
      <c r="E14" s="25" t="s">
        <v>194</v>
      </c>
      <c r="F14" s="1">
        <f>COUNTIF('CADASTRO LOJAS'!G3:G230,"Grupo F10")</f>
        <v>19</v>
      </c>
    </row>
    <row r="15">
      <c r="B15" s="25" t="s">
        <v>209</v>
      </c>
      <c r="C15" s="1">
        <f>COUNTIF('CADASTRO LOJAS'!M3:M230,"RJ")</f>
        <v>1</v>
      </c>
      <c r="E15" s="25" t="s">
        <v>215</v>
      </c>
      <c r="F15" s="1">
        <f>COUNTIF('CADASTRO LOJAS'!G3:G230,"Grupo F2")</f>
        <v>2</v>
      </c>
    </row>
    <row r="16">
      <c r="B16" s="25" t="s">
        <v>226</v>
      </c>
      <c r="C16" s="1">
        <f>COUNTIF('CADASTRO LOJAS'!M3:M230,"RS")</f>
        <v>63</v>
      </c>
      <c r="E16" s="25" t="s">
        <v>233</v>
      </c>
      <c r="F16" s="1">
        <f>COUNTIF('CADASTRO LOJAS'!G3:G230,"Grupo F3")</f>
        <v>26</v>
      </c>
    </row>
    <row r="17">
      <c r="B17" s="25" t="s">
        <v>240</v>
      </c>
      <c r="C17" s="1">
        <f>COUNTIF('CADASTRO LOJAS'!M3:M230,"SC")</f>
        <v>31</v>
      </c>
      <c r="E17" s="25" t="s">
        <v>249</v>
      </c>
      <c r="F17" s="1">
        <f>COUNTIF('CADASTRO LOJAS'!G3:G230,"Grupo F4")</f>
        <v>67</v>
      </c>
    </row>
    <row r="18">
      <c r="B18" s="25" t="s">
        <v>41</v>
      </c>
      <c r="C18" s="1">
        <f>COUNTIF('CADASTRO LOJAS'!M3:M230,"SP")</f>
        <v>105</v>
      </c>
      <c r="E18" s="25" t="s">
        <v>269</v>
      </c>
      <c r="F18" s="1">
        <f>COUNTIF('CADASTRO LOJAS'!G3:G230,"Grupo F5")</f>
        <v>3</v>
      </c>
    </row>
    <row r="19">
      <c r="E19" s="25" t="s">
        <v>277</v>
      </c>
      <c r="F19" s="1">
        <f>COUNTIF('CADASTRO LOJAS'!G3:G230,"Grupo F6")</f>
        <v>2</v>
      </c>
    </row>
    <row r="20">
      <c r="E20" s="25" t="s">
        <v>288</v>
      </c>
      <c r="F20" s="1">
        <f>COUNTIF('CADASTRO LOJAS'!G3:G230,"Grupo F7")</f>
        <v>11</v>
      </c>
    </row>
    <row r="21" ht="15.75" customHeight="1">
      <c r="B21" s="44" t="s">
        <v>299</v>
      </c>
      <c r="C21" s="6"/>
      <c r="E21" s="25" t="s">
        <v>310</v>
      </c>
      <c r="F21" s="1">
        <f>COUNTIF('CADASTRO LOJAS'!G3:G230,"Grupo F8")</f>
        <v>9</v>
      </c>
    </row>
    <row r="22" ht="15.75" customHeight="1">
      <c r="B22" s="25" t="s">
        <v>316</v>
      </c>
      <c r="C22" s="1">
        <f>COUNTIF('CADASTRO LOJAS'!O3:O230,"ARTEMIS")</f>
        <v>15</v>
      </c>
      <c r="E22" s="25" t="s">
        <v>327</v>
      </c>
      <c r="F22" s="1">
        <f>COUNTIF('CADASTRO LOJAS'!G3:G230,"Grupo F9")</f>
        <v>15</v>
      </c>
    </row>
    <row r="23" ht="15.75" customHeight="1">
      <c r="B23" s="25" t="s">
        <v>339</v>
      </c>
      <c r="C23" s="1">
        <f>COUNTIF('CADASTRO LOJAS'!O3:O230,"BACKOFFICE")</f>
        <v>1</v>
      </c>
    </row>
    <row r="24" ht="15.75" customHeight="1">
      <c r="B24" s="25" t="s">
        <v>351</v>
      </c>
      <c r="C24" s="1">
        <f>COUNTIF('CADASTRO LOJAS'!O3:O230,"BERNARDO")</f>
        <v>23</v>
      </c>
    </row>
    <row r="25" ht="15.75" customHeight="1">
      <c r="B25" s="25" t="s">
        <v>366</v>
      </c>
      <c r="C25" s="1">
        <f>COUNTIF('CADASTRO LOJAS'!O3:O230,"CLAUDIO")</f>
        <v>7</v>
      </c>
    </row>
    <row r="26" ht="15.75" customHeight="1">
      <c r="B26" s="25" t="s">
        <v>375</v>
      </c>
      <c r="C26" s="1">
        <f>COUNTIF('CADASTRO LOJAS'!O3:O230,"CLOVIS")</f>
        <v>20</v>
      </c>
    </row>
    <row r="27" ht="15.75" customHeight="1">
      <c r="B27" s="25" t="s">
        <v>389</v>
      </c>
      <c r="C27" s="1">
        <f>COUNTIF('CADASTRO LOJAS'!O3:O230,"ESTEFAN")</f>
        <v>8</v>
      </c>
    </row>
    <row r="28" ht="15.75" customHeight="1">
      <c r="B28" s="25" t="s">
        <v>400</v>
      </c>
      <c r="C28" s="1">
        <f>COUNTIF('CADASTRO LOJAS'!O3:O230,"JORGE")</f>
        <v>17</v>
      </c>
    </row>
    <row r="29" ht="15.75" customHeight="1">
      <c r="B29" s="25" t="s">
        <v>410</v>
      </c>
      <c r="C29" s="1">
        <f>COUNTIF('CADASTRO LOJAS'!O3:O230,"JOÃO PAULO")</f>
        <v>7</v>
      </c>
    </row>
    <row r="30" ht="15.75" customHeight="1">
      <c r="B30" s="25" t="s">
        <v>419</v>
      </c>
      <c r="C30" s="1">
        <f>COUNTIF('CADASTRO LOJAS'!O3:O230,"KATIANE")</f>
        <v>6</v>
      </c>
    </row>
    <row r="31" ht="15.75" customHeight="1">
      <c r="B31" s="25" t="s">
        <v>434</v>
      </c>
      <c r="C31" s="1">
        <f>COUNTIF('CADASTRO LOJAS'!O3:O230,"LOJA FECHADA")</f>
        <v>2</v>
      </c>
    </row>
    <row r="32" ht="15.75" customHeight="1">
      <c r="B32" s="25" t="s">
        <v>444</v>
      </c>
      <c r="C32" s="1">
        <f>COUNTIF('CADASTRO LOJAS'!O3:O230,"LUIGI")</f>
        <v>6</v>
      </c>
    </row>
    <row r="33" ht="15.75" customHeight="1">
      <c r="B33" s="25" t="s">
        <v>295</v>
      </c>
      <c r="C33" s="1">
        <f>COUNTIF('CADASTRO LOJAS'!O3:O230,"LUIS AMERICO")</f>
        <v>9</v>
      </c>
    </row>
    <row r="34" ht="15.75" customHeight="1">
      <c r="B34" s="25" t="s">
        <v>460</v>
      </c>
      <c r="C34" s="1">
        <f>COUNTIF('CADASTRO LOJAS'!O3:O230,"MATRIZ")</f>
        <v>1</v>
      </c>
    </row>
    <row r="35" ht="15.75" customHeight="1">
      <c r="B35" s="25" t="s">
        <v>466</v>
      </c>
      <c r="C35" s="1">
        <f>COUNTIF('CADASTRO LOJAS'!O3:O230,"MAURICIO")</f>
        <v>9</v>
      </c>
    </row>
    <row r="36" ht="15.75" customHeight="1">
      <c r="B36" s="25" t="s">
        <v>477</v>
      </c>
      <c r="C36" s="1">
        <f>COUNTIF('CADASTRO LOJAS'!O3:O230,"PATRICIA")</f>
        <v>23</v>
      </c>
    </row>
    <row r="37" ht="15.75" customHeight="1">
      <c r="B37" s="25" t="s">
        <v>484</v>
      </c>
      <c r="C37" s="1">
        <f>COUNTIF('CADASTRO LOJAS'!O3:O230,"PETERSON")</f>
        <v>5</v>
      </c>
    </row>
    <row r="38" ht="15.75" customHeight="1">
      <c r="B38" s="25" t="s">
        <v>496</v>
      </c>
      <c r="C38" s="1">
        <f>COUNTIF('CADASTRO LOJAS'!O3:O230,"RODRIGO")</f>
        <v>7</v>
      </c>
    </row>
    <row r="39" ht="15.75" customHeight="1">
      <c r="B39" s="25" t="s">
        <v>501</v>
      </c>
      <c r="C39" s="1">
        <f>COUNTIF('CADASTRO LOJAS'!O3:O230,"ROGERS")</f>
        <v>8</v>
      </c>
    </row>
    <row r="40" ht="15.75" customHeight="1">
      <c r="B40" s="25" t="s">
        <v>510</v>
      </c>
      <c r="C40" s="1">
        <f>COUNTIF('CADASTRO LOJAS'!O3:O230,"SUILA")</f>
        <v>2</v>
      </c>
    </row>
    <row r="41" ht="15.75" customHeight="1">
      <c r="B41" s="25" t="s">
        <v>517</v>
      </c>
      <c r="C41" s="1">
        <f>COUNTIF('CADASTRO LOJAS'!O3:O230,"THIAGO")</f>
        <v>6</v>
      </c>
    </row>
    <row r="42" ht="15.75" customHeight="1">
      <c r="B42" s="25" t="s">
        <v>550</v>
      </c>
      <c r="C42" s="1">
        <f>COUNTIF('CADASTRO LOJAS'!O3:O230,"VIVIANE")</f>
        <v>4</v>
      </c>
    </row>
    <row r="43" ht="15.75" customHeight="1"/>
    <row r="44" ht="15.75" customHeight="1"/>
    <row r="45" ht="15.75" customHeight="1">
      <c r="B45" s="57" t="s">
        <v>567</v>
      </c>
      <c r="C45" s="6"/>
    </row>
    <row r="46" ht="15.75" customHeight="1">
      <c r="B46" s="25" t="s">
        <v>575</v>
      </c>
      <c r="C46" s="1">
        <f>COUNTIF('CADASTRO LOJAS'!P3:P230,"CERUTTI")</f>
        <v>90</v>
      </c>
    </row>
    <row r="47" ht="15.75" customHeight="1">
      <c r="B47" s="25" t="s">
        <v>298</v>
      </c>
      <c r="C47" s="1">
        <f>COUNTIF('CADASTRO LOJAS'!P3:P230,"ERICSON")</f>
        <v>73</v>
      </c>
    </row>
    <row r="48" ht="15.75" customHeight="1">
      <c r="B48" s="25" t="s">
        <v>595</v>
      </c>
      <c r="C48" s="1">
        <f>COUNTIF('CADASTRO LOJAS'!P3:P230,"HELENA")</f>
        <v>15</v>
      </c>
    </row>
    <row r="49" ht="15.75" customHeight="1">
      <c r="B49" s="25" t="s">
        <v>607</v>
      </c>
      <c r="C49" s="1">
        <f>COUNTIF('CADASTRO LOJAS'!P3:P230,"RENAN")</f>
        <v>2</v>
      </c>
    </row>
    <row r="50" ht="15.75" customHeight="1">
      <c r="B50" s="25" t="s">
        <v>617</v>
      </c>
      <c r="C50" s="1">
        <f>COUNTIF('CADASTRO LOJAS'!P3:P230,"SONIA")</f>
        <v>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C10"/>
    <mergeCell ref="E10:F10"/>
    <mergeCell ref="B21:C21"/>
    <mergeCell ref="B45:C4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3.29"/>
    <col customWidth="1" min="10" max="26" width="8.71"/>
  </cols>
  <sheetData>
    <row r="1">
      <c r="B1" s="1" t="s">
        <v>0</v>
      </c>
    </row>
    <row r="2"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8</v>
      </c>
      <c r="C5" s="1" t="s">
        <v>10</v>
      </c>
    </row>
    <row r="7">
      <c r="A7" s="1" t="s">
        <v>11</v>
      </c>
      <c r="B7" s="5">
        <v>46189.50155685185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21</v>
      </c>
      <c r="L7" s="1" t="s">
        <v>23</v>
      </c>
      <c r="M7" s="1" t="s">
        <v>24</v>
      </c>
      <c r="N7" s="1" t="s">
        <v>25</v>
      </c>
      <c r="O7" s="1" t="s">
        <v>26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5">
        <v>46044.42919925926</v>
      </c>
    </row>
    <row r="8">
      <c r="A8" s="1" t="s">
        <v>32</v>
      </c>
      <c r="B8" s="1" t="s">
        <v>34</v>
      </c>
      <c r="C8" s="1" t="s">
        <v>35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  <c r="J8" s="1" t="s">
        <v>43</v>
      </c>
      <c r="K8" s="1" t="s">
        <v>44</v>
      </c>
      <c r="L8" s="1" t="s">
        <v>45</v>
      </c>
      <c r="M8" s="1" t="s">
        <v>46</v>
      </c>
      <c r="N8" s="1" t="s">
        <v>47</v>
      </c>
      <c r="O8" s="1" t="b">
        <v>0</v>
      </c>
      <c r="P8" s="12">
        <v>0.375</v>
      </c>
      <c r="Q8" s="12">
        <v>0.7916666666666666</v>
      </c>
      <c r="R8" s="1" t="s">
        <v>49</v>
      </c>
      <c r="S8" s="1" t="s">
        <v>50</v>
      </c>
      <c r="T8" s="1" t="s">
        <v>51</v>
      </c>
      <c r="U8" s="5">
        <v>46044.70003400463</v>
      </c>
    </row>
    <row r="9">
      <c r="A9" s="1" t="s">
        <v>32</v>
      </c>
      <c r="B9" s="1" t="s">
        <v>52</v>
      </c>
      <c r="C9" s="1" t="s">
        <v>53</v>
      </c>
      <c r="D9" s="1" t="s">
        <v>55</v>
      </c>
      <c r="E9" s="1" t="s">
        <v>56</v>
      </c>
      <c r="F9" s="1" t="s">
        <v>57</v>
      </c>
      <c r="G9" s="1" t="s">
        <v>40</v>
      </c>
      <c r="H9" s="1" t="s">
        <v>41</v>
      </c>
      <c r="I9" s="1" t="s">
        <v>58</v>
      </c>
      <c r="J9" s="1" t="s">
        <v>43</v>
      </c>
      <c r="K9" s="1" t="s">
        <v>59</v>
      </c>
      <c r="L9" s="1" t="s">
        <v>60</v>
      </c>
      <c r="M9" s="1" t="s">
        <v>46</v>
      </c>
      <c r="O9" s="1" t="b">
        <v>0</v>
      </c>
      <c r="P9" s="12">
        <v>0.375</v>
      </c>
      <c r="Q9" s="12">
        <v>0.7916666666666666</v>
      </c>
      <c r="R9" s="1" t="s">
        <v>62</v>
      </c>
      <c r="S9" s="1" t="s">
        <v>63</v>
      </c>
      <c r="T9" s="1" t="s">
        <v>51</v>
      </c>
      <c r="U9" s="5">
        <v>46044.70055259259</v>
      </c>
    </row>
    <row r="10">
      <c r="A10" s="1" t="s">
        <v>32</v>
      </c>
      <c r="B10" s="1" t="s">
        <v>64</v>
      </c>
      <c r="C10" s="1" t="s">
        <v>35</v>
      </c>
      <c r="D10" s="1" t="s">
        <v>37</v>
      </c>
      <c r="E10" s="1" t="s">
        <v>65</v>
      </c>
      <c r="F10" s="1" t="s">
        <v>39</v>
      </c>
      <c r="G10" s="1" t="s">
        <v>40</v>
      </c>
      <c r="H10" s="1" t="s">
        <v>41</v>
      </c>
      <c r="I10" s="1" t="s">
        <v>66</v>
      </c>
      <c r="J10" s="1" t="s">
        <v>43</v>
      </c>
      <c r="K10" s="1" t="s">
        <v>67</v>
      </c>
      <c r="L10" s="1" t="s">
        <v>68</v>
      </c>
      <c r="M10" s="1" t="s">
        <v>46</v>
      </c>
      <c r="O10" s="1" t="b">
        <v>0</v>
      </c>
      <c r="P10" s="12">
        <v>0.375</v>
      </c>
      <c r="Q10" s="12">
        <v>0.7916666666666666</v>
      </c>
      <c r="R10" s="1" t="s">
        <v>70</v>
      </c>
      <c r="S10" s="1" t="s">
        <v>71</v>
      </c>
      <c r="T10" s="1" t="s">
        <v>51</v>
      </c>
      <c r="U10" s="5">
        <v>46044.70086625</v>
      </c>
    </row>
    <row r="11">
      <c r="A11" s="1" t="s">
        <v>32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39</v>
      </c>
      <c r="G11" s="1" t="s">
        <v>77</v>
      </c>
      <c r="H11" s="1" t="s">
        <v>41</v>
      </c>
      <c r="I11" s="1" t="s">
        <v>78</v>
      </c>
      <c r="J11" s="1" t="s">
        <v>43</v>
      </c>
      <c r="K11" s="1" t="s">
        <v>80</v>
      </c>
      <c r="L11" s="1" t="s">
        <v>81</v>
      </c>
      <c r="M11" s="1" t="s">
        <v>46</v>
      </c>
      <c r="O11" s="1" t="b">
        <v>0</v>
      </c>
      <c r="P11" s="12">
        <v>0.375</v>
      </c>
      <c r="Q11" s="12">
        <v>0.7916666666666666</v>
      </c>
      <c r="R11" s="1" t="s">
        <v>82</v>
      </c>
      <c r="S11" s="1" t="s">
        <v>83</v>
      </c>
      <c r="T11" s="1" t="s">
        <v>51</v>
      </c>
      <c r="U11" s="5">
        <v>46105.63664876157</v>
      </c>
    </row>
    <row r="12">
      <c r="A12" s="1" t="s">
        <v>32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39</v>
      </c>
      <c r="G12" s="1" t="s">
        <v>77</v>
      </c>
      <c r="H12" s="1" t="s">
        <v>41</v>
      </c>
      <c r="I12" s="1" t="s">
        <v>89</v>
      </c>
      <c r="J12" s="1" t="s">
        <v>43</v>
      </c>
      <c r="K12" s="1" t="s">
        <v>91</v>
      </c>
      <c r="L12" s="1" t="s">
        <v>92</v>
      </c>
      <c r="M12" s="1" t="s">
        <v>46</v>
      </c>
      <c r="O12" s="1" t="b">
        <v>0</v>
      </c>
      <c r="P12" s="12">
        <v>0.375</v>
      </c>
      <c r="Q12" s="12">
        <v>0.7916666666666666</v>
      </c>
      <c r="R12" s="1" t="s">
        <v>93</v>
      </c>
      <c r="S12" s="1" t="s">
        <v>94</v>
      </c>
      <c r="T12" s="1" t="s">
        <v>51</v>
      </c>
      <c r="U12" s="5">
        <v>46077.43513612269</v>
      </c>
    </row>
    <row r="13">
      <c r="A13" s="1" t="s">
        <v>32</v>
      </c>
      <c r="B13" s="1" t="s">
        <v>95</v>
      </c>
      <c r="C13" s="1" t="s">
        <v>96</v>
      </c>
      <c r="D13" s="1" t="s">
        <v>98</v>
      </c>
      <c r="E13" s="1" t="s">
        <v>99</v>
      </c>
      <c r="F13" s="1" t="s">
        <v>57</v>
      </c>
      <c r="G13" s="1" t="s">
        <v>40</v>
      </c>
      <c r="H13" s="1" t="s">
        <v>41</v>
      </c>
      <c r="I13" s="1" t="s">
        <v>101</v>
      </c>
      <c r="J13" s="1" t="s">
        <v>43</v>
      </c>
      <c r="K13" s="1" t="s">
        <v>102</v>
      </c>
      <c r="L13" s="1" t="s">
        <v>103</v>
      </c>
      <c r="M13" s="1" t="s">
        <v>46</v>
      </c>
      <c r="O13" s="1" t="b">
        <v>0</v>
      </c>
      <c r="P13" s="12">
        <v>0.4166666666666667</v>
      </c>
      <c r="Q13" s="12">
        <v>0.9166666666666666</v>
      </c>
      <c r="R13" s="1" t="s">
        <v>104</v>
      </c>
      <c r="S13" s="1" t="s">
        <v>106</v>
      </c>
      <c r="T13" s="1" t="s">
        <v>51</v>
      </c>
      <c r="U13" s="5">
        <v>46044.70201456019</v>
      </c>
    </row>
    <row r="14">
      <c r="A14" s="1" t="s">
        <v>32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111</v>
      </c>
      <c r="G14" s="1" t="s">
        <v>40</v>
      </c>
      <c r="H14" s="1" t="s">
        <v>41</v>
      </c>
      <c r="I14" s="1" t="s">
        <v>112</v>
      </c>
      <c r="J14" s="1" t="s">
        <v>43</v>
      </c>
      <c r="K14" s="1" t="s">
        <v>113</v>
      </c>
      <c r="L14" s="1" t="s">
        <v>114</v>
      </c>
      <c r="M14" s="1" t="s">
        <v>46</v>
      </c>
      <c r="O14" s="1" t="b">
        <v>0</v>
      </c>
      <c r="P14" s="12">
        <v>0.4166666666666667</v>
      </c>
      <c r="Q14" s="12">
        <v>0.9166666666666666</v>
      </c>
      <c r="R14" s="1" t="s">
        <v>116</v>
      </c>
      <c r="S14" s="1" t="s">
        <v>117</v>
      </c>
      <c r="T14" s="1" t="s">
        <v>51</v>
      </c>
      <c r="U14" s="5">
        <v>46044.7026927662</v>
      </c>
    </row>
    <row r="15">
      <c r="A15" s="1" t="s">
        <v>32</v>
      </c>
      <c r="B15" s="1" t="s">
        <v>119</v>
      </c>
      <c r="C15" s="1" t="s">
        <v>121</v>
      </c>
      <c r="D15" s="1" t="s">
        <v>122</v>
      </c>
      <c r="E15" s="1" t="s">
        <v>125</v>
      </c>
      <c r="F15" s="1" t="s">
        <v>126</v>
      </c>
      <c r="G15" s="1" t="s">
        <v>127</v>
      </c>
      <c r="H15" s="1" t="s">
        <v>41</v>
      </c>
      <c r="I15" s="1" t="s">
        <v>128</v>
      </c>
      <c r="J15" s="1" t="s">
        <v>43</v>
      </c>
      <c r="K15" s="1" t="s">
        <v>129</v>
      </c>
      <c r="L15" s="1" t="s">
        <v>130</v>
      </c>
      <c r="M15" s="1" t="s">
        <v>46</v>
      </c>
      <c r="O15" s="1" t="b">
        <v>0</v>
      </c>
      <c r="P15" s="12">
        <v>0.4166666666666667</v>
      </c>
      <c r="Q15" s="12">
        <v>0.9166666666666666</v>
      </c>
      <c r="R15" s="1" t="s">
        <v>133</v>
      </c>
      <c r="S15" s="1" t="s">
        <v>134</v>
      </c>
      <c r="T15" s="1" t="s">
        <v>51</v>
      </c>
      <c r="U15" s="5">
        <v>46044.7030605787</v>
      </c>
    </row>
    <row r="16">
      <c r="A16" s="1" t="s">
        <v>32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40</v>
      </c>
      <c r="H16" s="1" t="s">
        <v>41</v>
      </c>
      <c r="I16" s="1" t="s">
        <v>143</v>
      </c>
      <c r="J16" s="1" t="s">
        <v>43</v>
      </c>
      <c r="K16" s="1" t="s">
        <v>145</v>
      </c>
      <c r="L16" s="1" t="s">
        <v>146</v>
      </c>
      <c r="M16" s="1" t="s">
        <v>46</v>
      </c>
      <c r="O16" s="1" t="b">
        <v>0</v>
      </c>
      <c r="P16" s="12">
        <v>0.375</v>
      </c>
      <c r="Q16" s="12">
        <v>0.7916666666666666</v>
      </c>
      <c r="R16" s="1" t="s">
        <v>148</v>
      </c>
      <c r="S16" s="1" t="s">
        <v>149</v>
      </c>
      <c r="T16" s="1" t="s">
        <v>51</v>
      </c>
      <c r="U16" s="5">
        <v>46044.43739664352</v>
      </c>
    </row>
    <row r="17">
      <c r="A17" s="1" t="s">
        <v>32</v>
      </c>
      <c r="B17" s="1" t="s">
        <v>152</v>
      </c>
      <c r="C17" s="1" t="s">
        <v>153</v>
      </c>
      <c r="D17" s="1" t="s">
        <v>154</v>
      </c>
      <c r="E17" s="1" t="s">
        <v>155</v>
      </c>
      <c r="F17" s="1" t="s">
        <v>141</v>
      </c>
      <c r="G17" s="1" t="s">
        <v>40</v>
      </c>
      <c r="H17" s="1" t="s">
        <v>41</v>
      </c>
      <c r="I17" s="1" t="s">
        <v>157</v>
      </c>
      <c r="J17" s="1" t="s">
        <v>158</v>
      </c>
      <c r="K17" s="1" t="s">
        <v>159</v>
      </c>
      <c r="L17" s="1" t="s">
        <v>160</v>
      </c>
      <c r="M17" s="1" t="s">
        <v>161</v>
      </c>
      <c r="O17" s="1" t="b">
        <v>0</v>
      </c>
      <c r="P17" s="12">
        <v>0.4166666666666667</v>
      </c>
      <c r="Q17" s="12">
        <v>0.9166666666666666</v>
      </c>
      <c r="R17" s="1" t="s">
        <v>165</v>
      </c>
      <c r="S17" s="1" t="s">
        <v>166</v>
      </c>
      <c r="T17" s="1" t="s">
        <v>51</v>
      </c>
      <c r="U17" s="5">
        <v>46044.70355667824</v>
      </c>
    </row>
    <row r="18">
      <c r="A18" s="1" t="s">
        <v>32</v>
      </c>
      <c r="B18" s="1" t="s">
        <v>168</v>
      </c>
      <c r="C18" s="1" t="s">
        <v>169</v>
      </c>
      <c r="D18" s="1" t="s">
        <v>171</v>
      </c>
      <c r="E18" s="1" t="s">
        <v>99</v>
      </c>
      <c r="F18" s="1" t="s">
        <v>172</v>
      </c>
      <c r="G18" s="1" t="s">
        <v>40</v>
      </c>
      <c r="H18" s="1" t="s">
        <v>41</v>
      </c>
      <c r="I18" s="1" t="s">
        <v>174</v>
      </c>
      <c r="J18" s="1" t="s">
        <v>158</v>
      </c>
      <c r="K18" s="1" t="s">
        <v>176</v>
      </c>
      <c r="L18" s="1" t="s">
        <v>177</v>
      </c>
      <c r="M18" s="1" t="s">
        <v>161</v>
      </c>
      <c r="O18" s="1" t="b">
        <v>0</v>
      </c>
      <c r="P18" s="12">
        <v>0.4166666666666667</v>
      </c>
      <c r="Q18" s="12">
        <v>0.9166666666666666</v>
      </c>
      <c r="R18" s="1" t="s">
        <v>179</v>
      </c>
      <c r="S18" s="1" t="s">
        <v>182</v>
      </c>
      <c r="T18" s="1" t="s">
        <v>51</v>
      </c>
      <c r="U18" s="5">
        <v>46044.70391876157</v>
      </c>
    </row>
    <row r="19">
      <c r="A19" s="1" t="s">
        <v>32</v>
      </c>
      <c r="B19" s="1" t="s">
        <v>185</v>
      </c>
      <c r="C19" s="1" t="s">
        <v>186</v>
      </c>
      <c r="D19" s="1" t="s">
        <v>188</v>
      </c>
      <c r="E19" s="1" t="s">
        <v>110</v>
      </c>
      <c r="F19" s="1" t="s">
        <v>190</v>
      </c>
      <c r="G19" s="1" t="s">
        <v>40</v>
      </c>
      <c r="H19" s="1" t="s">
        <v>41</v>
      </c>
      <c r="I19" s="1" t="s">
        <v>192</v>
      </c>
      <c r="J19" s="1" t="s">
        <v>158</v>
      </c>
      <c r="K19" s="1" t="s">
        <v>195</v>
      </c>
      <c r="L19" s="1" t="s">
        <v>197</v>
      </c>
      <c r="M19" s="1" t="s">
        <v>161</v>
      </c>
      <c r="O19" s="1" t="b">
        <v>0</v>
      </c>
      <c r="P19" s="12">
        <v>0.4166666666666667</v>
      </c>
      <c r="Q19" s="12">
        <v>0.9166666666666666</v>
      </c>
      <c r="R19" s="1" t="s">
        <v>198</v>
      </c>
      <c r="S19" s="1" t="s">
        <v>199</v>
      </c>
      <c r="T19" s="1" t="s">
        <v>51</v>
      </c>
      <c r="U19" s="5">
        <v>46044.70423929398</v>
      </c>
    </row>
    <row r="20">
      <c r="A20" s="1" t="s">
        <v>32</v>
      </c>
      <c r="B20" s="1" t="s">
        <v>202</v>
      </c>
      <c r="C20" s="1" t="s">
        <v>169</v>
      </c>
      <c r="D20" s="1" t="s">
        <v>208</v>
      </c>
      <c r="E20" s="1" t="s">
        <v>99</v>
      </c>
      <c r="F20" s="1" t="s">
        <v>172</v>
      </c>
      <c r="G20" s="1" t="s">
        <v>40</v>
      </c>
      <c r="H20" s="1" t="s">
        <v>41</v>
      </c>
      <c r="I20" s="1" t="s">
        <v>210</v>
      </c>
      <c r="J20" s="1" t="s">
        <v>211</v>
      </c>
      <c r="K20" s="1" t="s">
        <v>212</v>
      </c>
      <c r="L20" s="1" t="s">
        <v>213</v>
      </c>
      <c r="M20" s="1" t="s">
        <v>161</v>
      </c>
      <c r="O20" s="1" t="b">
        <v>0</v>
      </c>
      <c r="P20" s="12">
        <v>0.4166666666666667</v>
      </c>
      <c r="Q20" s="12">
        <v>0.9166666666666666</v>
      </c>
      <c r="R20" s="1" t="s">
        <v>214</v>
      </c>
      <c r="T20" s="1" t="s">
        <v>51</v>
      </c>
      <c r="U20" s="5">
        <v>46105.66418995371</v>
      </c>
    </row>
    <row r="21" ht="15.75" customHeight="1">
      <c r="A21" s="1" t="s">
        <v>32</v>
      </c>
      <c r="B21" s="1" t="s">
        <v>216</v>
      </c>
      <c r="C21" s="1" t="s">
        <v>218</v>
      </c>
      <c r="D21" s="1" t="s">
        <v>219</v>
      </c>
      <c r="E21" s="1" t="s">
        <v>220</v>
      </c>
      <c r="F21" s="1" t="s">
        <v>39</v>
      </c>
      <c r="G21" s="1" t="s">
        <v>221</v>
      </c>
      <c r="H21" s="1" t="s">
        <v>41</v>
      </c>
      <c r="I21" s="1" t="s">
        <v>222</v>
      </c>
      <c r="J21" s="1" t="s">
        <v>43</v>
      </c>
      <c r="K21" s="1" t="s">
        <v>223</v>
      </c>
      <c r="L21" s="1" t="s">
        <v>224</v>
      </c>
      <c r="M21" s="1" t="s">
        <v>46</v>
      </c>
      <c r="O21" s="1" t="b">
        <v>0</v>
      </c>
      <c r="P21" s="12">
        <v>0.375</v>
      </c>
      <c r="Q21" s="12">
        <v>0.7916666666666666</v>
      </c>
      <c r="R21" s="1" t="s">
        <v>227</v>
      </c>
      <c r="S21" s="1" t="s">
        <v>228</v>
      </c>
      <c r="T21" s="1" t="s">
        <v>51</v>
      </c>
      <c r="U21" s="5">
        <v>46044.70482329861</v>
      </c>
    </row>
    <row r="22" ht="15.75" customHeight="1">
      <c r="A22" s="1" t="s">
        <v>32</v>
      </c>
      <c r="B22" s="1" t="s">
        <v>229</v>
      </c>
      <c r="C22" s="1" t="s">
        <v>153</v>
      </c>
      <c r="D22" s="1" t="s">
        <v>230</v>
      </c>
      <c r="E22" s="1" t="s">
        <v>155</v>
      </c>
      <c r="F22" s="1" t="s">
        <v>231</v>
      </c>
      <c r="G22" s="1" t="s">
        <v>40</v>
      </c>
      <c r="H22" s="1" t="s">
        <v>41</v>
      </c>
      <c r="I22" s="1" t="s">
        <v>232</v>
      </c>
      <c r="J22" s="1" t="s">
        <v>43</v>
      </c>
      <c r="K22" s="1" t="s">
        <v>234</v>
      </c>
      <c r="L22" s="1" t="s">
        <v>235</v>
      </c>
      <c r="M22" s="1" t="s">
        <v>46</v>
      </c>
      <c r="O22" s="1" t="b">
        <v>0</v>
      </c>
      <c r="P22" s="12">
        <v>0.4166666666666667</v>
      </c>
      <c r="Q22" s="12">
        <v>0.9166666666666666</v>
      </c>
      <c r="R22" s="1" t="s">
        <v>236</v>
      </c>
      <c r="S22" s="1" t="s">
        <v>237</v>
      </c>
      <c r="T22" s="1" t="s">
        <v>51</v>
      </c>
      <c r="U22" s="5">
        <v>46044.70512640046</v>
      </c>
    </row>
    <row r="23" ht="15.75" customHeight="1">
      <c r="A23" s="1" t="s">
        <v>32</v>
      </c>
      <c r="B23" s="1" t="s">
        <v>239</v>
      </c>
      <c r="C23" s="1" t="s">
        <v>241</v>
      </c>
      <c r="D23" s="1" t="s">
        <v>242</v>
      </c>
      <c r="E23" s="1" t="s">
        <v>243</v>
      </c>
      <c r="F23" s="1" t="s">
        <v>39</v>
      </c>
      <c r="G23" s="1" t="s">
        <v>77</v>
      </c>
      <c r="H23" s="1" t="s">
        <v>41</v>
      </c>
      <c r="I23" s="1" t="s">
        <v>244</v>
      </c>
      <c r="J23" s="1" t="s">
        <v>158</v>
      </c>
      <c r="K23" s="1" t="s">
        <v>245</v>
      </c>
      <c r="L23" s="1" t="s">
        <v>246</v>
      </c>
      <c r="M23" s="1" t="s">
        <v>161</v>
      </c>
      <c r="O23" s="1" t="b">
        <v>0</v>
      </c>
      <c r="P23" s="12">
        <v>0.4166666666666667</v>
      </c>
      <c r="Q23" s="12">
        <v>0.9166666666666666</v>
      </c>
      <c r="R23" s="1" t="s">
        <v>247</v>
      </c>
      <c r="S23" s="1" t="s">
        <v>248</v>
      </c>
      <c r="T23" s="1" t="s">
        <v>51</v>
      </c>
      <c r="U23" s="5">
        <v>46044.70543347222</v>
      </c>
    </row>
    <row r="24" ht="15.75" customHeight="1">
      <c r="A24" s="1" t="s">
        <v>32</v>
      </c>
      <c r="B24" s="1" t="s">
        <v>250</v>
      </c>
      <c r="C24" s="1" t="s">
        <v>241</v>
      </c>
      <c r="D24" s="1" t="s">
        <v>251</v>
      </c>
      <c r="E24" s="1" t="s">
        <v>243</v>
      </c>
      <c r="F24" s="1" t="s">
        <v>39</v>
      </c>
      <c r="G24" s="1" t="s">
        <v>77</v>
      </c>
      <c r="H24" s="1" t="s">
        <v>41</v>
      </c>
      <c r="I24" s="1" t="s">
        <v>253</v>
      </c>
      <c r="J24" s="1" t="s">
        <v>43</v>
      </c>
      <c r="K24" s="1" t="s">
        <v>255</v>
      </c>
      <c r="L24" s="1" t="s">
        <v>256</v>
      </c>
      <c r="M24" s="1" t="s">
        <v>46</v>
      </c>
      <c r="O24" s="1" t="b">
        <v>0</v>
      </c>
      <c r="P24" s="12">
        <v>0.4166666666666667</v>
      </c>
      <c r="Q24" s="12">
        <v>0.9166666666666666</v>
      </c>
      <c r="R24" s="1" t="s">
        <v>257</v>
      </c>
      <c r="S24" s="1" t="s">
        <v>259</v>
      </c>
      <c r="T24" s="1" t="s">
        <v>51</v>
      </c>
      <c r="U24" s="5">
        <v>46044.7056921412</v>
      </c>
    </row>
    <row r="25" ht="15.75" customHeight="1">
      <c r="A25" s="1" t="s">
        <v>32</v>
      </c>
      <c r="B25" s="1" t="s">
        <v>260</v>
      </c>
      <c r="C25" s="1" t="s">
        <v>262</v>
      </c>
      <c r="D25" s="1" t="s">
        <v>263</v>
      </c>
      <c r="E25" s="1" t="s">
        <v>264</v>
      </c>
      <c r="F25" s="1" t="s">
        <v>265</v>
      </c>
      <c r="G25" s="1" t="s">
        <v>266</v>
      </c>
      <c r="H25" s="1" t="s">
        <v>41</v>
      </c>
      <c r="I25" s="1" t="s">
        <v>267</v>
      </c>
      <c r="J25" s="1" t="s">
        <v>43</v>
      </c>
      <c r="K25" s="1" t="s">
        <v>268</v>
      </c>
      <c r="L25" s="1" t="s">
        <v>270</v>
      </c>
      <c r="M25" s="1" t="s">
        <v>46</v>
      </c>
      <c r="O25" s="1" t="b">
        <v>0</v>
      </c>
      <c r="P25" s="12">
        <v>0.4166666666666667</v>
      </c>
      <c r="Q25" s="12">
        <v>0.9166666666666666</v>
      </c>
      <c r="R25" s="1" t="s">
        <v>272</v>
      </c>
      <c r="S25" s="1" t="s">
        <v>273</v>
      </c>
      <c r="T25" s="1" t="s">
        <v>51</v>
      </c>
      <c r="U25" s="5">
        <v>46044.70596497685</v>
      </c>
    </row>
    <row r="26" ht="15.75" customHeight="1">
      <c r="A26" s="1" t="s">
        <v>32</v>
      </c>
      <c r="B26" s="1" t="s">
        <v>274</v>
      </c>
      <c r="C26" s="1" t="s">
        <v>35</v>
      </c>
      <c r="D26" s="1" t="s">
        <v>37</v>
      </c>
      <c r="E26" s="1" t="s">
        <v>275</v>
      </c>
      <c r="F26" s="1" t="s">
        <v>39</v>
      </c>
      <c r="G26" s="1" t="s">
        <v>40</v>
      </c>
      <c r="H26" s="1" t="s">
        <v>41</v>
      </c>
      <c r="I26" s="1" t="s">
        <v>276</v>
      </c>
      <c r="J26" s="1" t="s">
        <v>43</v>
      </c>
      <c r="K26" s="1" t="s">
        <v>278</v>
      </c>
      <c r="L26" s="1" t="s">
        <v>279</v>
      </c>
      <c r="M26" s="1" t="s">
        <v>46</v>
      </c>
      <c r="O26" s="1" t="b">
        <v>0</v>
      </c>
      <c r="P26" s="12">
        <v>0.375</v>
      </c>
      <c r="Q26" s="12">
        <v>0.7916666666666666</v>
      </c>
      <c r="R26" s="1" t="s">
        <v>280</v>
      </c>
      <c r="S26" s="1" t="s">
        <v>281</v>
      </c>
      <c r="T26" s="1" t="s">
        <v>51</v>
      </c>
      <c r="U26" s="5">
        <v>46044.70619549768</v>
      </c>
    </row>
    <row r="27" ht="15.75" customHeight="1">
      <c r="A27" s="1" t="s">
        <v>32</v>
      </c>
      <c r="B27" s="1" t="s">
        <v>283</v>
      </c>
      <c r="C27" s="1" t="s">
        <v>284</v>
      </c>
      <c r="D27" s="1" t="s">
        <v>285</v>
      </c>
      <c r="E27" s="1" t="s">
        <v>286</v>
      </c>
      <c r="F27" s="1" t="s">
        <v>287</v>
      </c>
      <c r="G27" s="1" t="s">
        <v>221</v>
      </c>
      <c r="H27" s="1" t="s">
        <v>41</v>
      </c>
      <c r="I27" s="1" t="s">
        <v>289</v>
      </c>
      <c r="J27" s="1" t="s">
        <v>43</v>
      </c>
      <c r="K27" s="1" t="s">
        <v>290</v>
      </c>
      <c r="L27" s="1" t="s">
        <v>291</v>
      </c>
      <c r="M27" s="1" t="s">
        <v>46</v>
      </c>
      <c r="O27" s="1" t="b">
        <v>0</v>
      </c>
      <c r="P27" s="12">
        <v>0.4166666666666667</v>
      </c>
      <c r="Q27" s="12">
        <v>0.9166666666666666</v>
      </c>
      <c r="R27" s="1" t="s">
        <v>292</v>
      </c>
      <c r="S27" s="1" t="s">
        <v>293</v>
      </c>
      <c r="T27" s="1" t="s">
        <v>51</v>
      </c>
      <c r="U27" s="5">
        <v>46044.70652083333</v>
      </c>
    </row>
    <row r="28" ht="15.75" customHeight="1">
      <c r="A28" s="1" t="s">
        <v>32</v>
      </c>
      <c r="B28" s="1" t="s">
        <v>296</v>
      </c>
      <c r="C28" s="1" t="s">
        <v>297</v>
      </c>
      <c r="D28" s="1" t="s">
        <v>300</v>
      </c>
      <c r="E28" s="1" t="s">
        <v>301</v>
      </c>
      <c r="F28" s="1" t="s">
        <v>39</v>
      </c>
      <c r="G28" s="1" t="s">
        <v>40</v>
      </c>
      <c r="H28" s="1" t="s">
        <v>41</v>
      </c>
      <c r="I28" s="1" t="s">
        <v>302</v>
      </c>
      <c r="J28" s="1" t="s">
        <v>303</v>
      </c>
      <c r="K28" s="1" t="s">
        <v>304</v>
      </c>
      <c r="L28" s="1" t="s">
        <v>305</v>
      </c>
      <c r="M28" s="1" t="s">
        <v>46</v>
      </c>
      <c r="O28" s="1" t="b">
        <v>0</v>
      </c>
      <c r="P28" s="12">
        <v>0.375</v>
      </c>
      <c r="Q28" s="12">
        <v>0.7916666666666666</v>
      </c>
      <c r="R28" s="1" t="s">
        <v>307</v>
      </c>
      <c r="S28" s="1" t="s">
        <v>308</v>
      </c>
      <c r="T28" s="1" t="s">
        <v>51</v>
      </c>
      <c r="U28" s="5">
        <v>46106.41300797454</v>
      </c>
    </row>
    <row r="29" ht="15.75" customHeight="1">
      <c r="A29" s="1" t="s">
        <v>32</v>
      </c>
      <c r="B29" s="1" t="s">
        <v>309</v>
      </c>
      <c r="C29" s="1" t="s">
        <v>153</v>
      </c>
      <c r="D29" s="1" t="s">
        <v>230</v>
      </c>
      <c r="E29" s="1" t="s">
        <v>155</v>
      </c>
      <c r="F29" s="1" t="s">
        <v>231</v>
      </c>
      <c r="G29" s="1" t="s">
        <v>40</v>
      </c>
      <c r="H29" s="1" t="s">
        <v>41</v>
      </c>
      <c r="I29" s="1" t="s">
        <v>311</v>
      </c>
      <c r="J29" s="1" t="s">
        <v>43</v>
      </c>
      <c r="K29" s="1" t="s">
        <v>312</v>
      </c>
      <c r="L29" s="1" t="s">
        <v>313</v>
      </c>
      <c r="M29" s="1" t="s">
        <v>46</v>
      </c>
      <c r="O29" s="1" t="b">
        <v>0</v>
      </c>
      <c r="P29" s="12">
        <v>0.4166666666666667</v>
      </c>
      <c r="Q29" s="12">
        <v>0.9166666666666666</v>
      </c>
      <c r="R29" s="1" t="s">
        <v>314</v>
      </c>
      <c r="S29" s="1" t="s">
        <v>315</v>
      </c>
      <c r="T29" s="1" t="s">
        <v>51</v>
      </c>
      <c r="U29" s="5">
        <v>46112.52424335648</v>
      </c>
    </row>
    <row r="30" ht="15.75" customHeight="1">
      <c r="A30" s="1" t="s">
        <v>32</v>
      </c>
      <c r="B30" s="1" t="s">
        <v>317</v>
      </c>
      <c r="C30" s="1" t="s">
        <v>318</v>
      </c>
      <c r="D30" s="1" t="s">
        <v>319</v>
      </c>
      <c r="E30" s="1" t="s">
        <v>321</v>
      </c>
      <c r="F30" s="1" t="s">
        <v>39</v>
      </c>
      <c r="G30" s="1" t="s">
        <v>266</v>
      </c>
      <c r="H30" s="1" t="s">
        <v>41</v>
      </c>
      <c r="I30" s="1" t="s">
        <v>322</v>
      </c>
      <c r="J30" s="1" t="s">
        <v>43</v>
      </c>
      <c r="K30" s="1" t="s">
        <v>323</v>
      </c>
      <c r="L30" s="1" t="s">
        <v>324</v>
      </c>
      <c r="M30" s="1" t="s">
        <v>46</v>
      </c>
      <c r="O30" s="1" t="b">
        <v>0</v>
      </c>
      <c r="P30" s="12">
        <v>0.375</v>
      </c>
      <c r="Q30" s="12">
        <v>0.7708333333333334</v>
      </c>
      <c r="R30" s="1" t="s">
        <v>325</v>
      </c>
      <c r="S30" s="1" t="s">
        <v>326</v>
      </c>
      <c r="T30" s="1" t="s">
        <v>51</v>
      </c>
      <c r="U30" s="5">
        <v>46106.42493540509</v>
      </c>
    </row>
    <row r="31" ht="15.75" customHeight="1">
      <c r="A31" s="1" t="s">
        <v>32</v>
      </c>
      <c r="B31" s="1" t="s">
        <v>328</v>
      </c>
      <c r="C31" s="1" t="s">
        <v>329</v>
      </c>
      <c r="D31" s="1" t="s">
        <v>330</v>
      </c>
      <c r="E31" s="1" t="s">
        <v>331</v>
      </c>
      <c r="F31" s="1" t="s">
        <v>332</v>
      </c>
      <c r="G31" s="1" t="s">
        <v>333</v>
      </c>
      <c r="H31" s="1" t="s">
        <v>41</v>
      </c>
      <c r="I31" s="1" t="s">
        <v>334</v>
      </c>
      <c r="J31" s="1" t="s">
        <v>335</v>
      </c>
      <c r="K31" s="1" t="s">
        <v>336</v>
      </c>
      <c r="L31" s="1" t="s">
        <v>337</v>
      </c>
      <c r="M31" s="1" t="s">
        <v>46</v>
      </c>
      <c r="O31" s="1" t="b">
        <v>0</v>
      </c>
      <c r="P31" s="12">
        <v>0.4166666666666667</v>
      </c>
      <c r="Q31" s="12">
        <v>0.9166666666666666</v>
      </c>
      <c r="R31" s="1" t="s">
        <v>340</v>
      </c>
      <c r="S31" s="1" t="s">
        <v>341</v>
      </c>
      <c r="T31" s="1" t="s">
        <v>51</v>
      </c>
      <c r="U31" s="5">
        <v>46044.70727092592</v>
      </c>
    </row>
    <row r="32" ht="15.75" customHeight="1">
      <c r="A32" s="1" t="s">
        <v>32</v>
      </c>
      <c r="B32" s="1" t="s">
        <v>343</v>
      </c>
      <c r="C32" s="1" t="s">
        <v>344</v>
      </c>
      <c r="D32" s="1" t="s">
        <v>330</v>
      </c>
      <c r="E32" s="1" t="s">
        <v>331</v>
      </c>
      <c r="F32" s="1" t="s">
        <v>345</v>
      </c>
      <c r="G32" s="1" t="s">
        <v>333</v>
      </c>
      <c r="H32" s="1" t="s">
        <v>41</v>
      </c>
      <c r="I32" s="1" t="s">
        <v>346</v>
      </c>
      <c r="J32" s="1" t="s">
        <v>43</v>
      </c>
      <c r="K32" s="1" t="s">
        <v>347</v>
      </c>
      <c r="L32" s="1" t="s">
        <v>348</v>
      </c>
      <c r="M32" s="1" t="s">
        <v>46</v>
      </c>
      <c r="O32" s="1" t="b">
        <v>0</v>
      </c>
      <c r="P32" s="12">
        <v>0.4166666666666667</v>
      </c>
      <c r="Q32" s="12">
        <v>0.9166666666666666</v>
      </c>
      <c r="R32" s="1" t="s">
        <v>349</v>
      </c>
      <c r="S32" s="1" t="s">
        <v>350</v>
      </c>
      <c r="T32" s="1" t="s">
        <v>51</v>
      </c>
      <c r="U32" s="5">
        <v>46044.73207771991</v>
      </c>
    </row>
    <row r="33" ht="15.75" customHeight="1">
      <c r="A33" s="1" t="s">
        <v>32</v>
      </c>
      <c r="B33" s="1" t="s">
        <v>352</v>
      </c>
      <c r="C33" s="1" t="s">
        <v>353</v>
      </c>
      <c r="D33" s="1" t="s">
        <v>354</v>
      </c>
      <c r="E33" s="1" t="s">
        <v>355</v>
      </c>
      <c r="F33" s="1" t="s">
        <v>356</v>
      </c>
      <c r="G33" s="1" t="s">
        <v>333</v>
      </c>
      <c r="H33" s="1" t="s">
        <v>41</v>
      </c>
      <c r="I33" s="1" t="s">
        <v>358</v>
      </c>
      <c r="J33" s="1" t="s">
        <v>359</v>
      </c>
      <c r="K33" s="1" t="s">
        <v>361</v>
      </c>
      <c r="L33" s="1" t="s">
        <v>362</v>
      </c>
      <c r="M33" s="1" t="s">
        <v>363</v>
      </c>
      <c r="O33" s="1" t="b">
        <v>0</v>
      </c>
      <c r="P33" s="12">
        <v>0.4166666666666667</v>
      </c>
      <c r="Q33" s="12">
        <v>0.75</v>
      </c>
      <c r="R33" s="1" t="s">
        <v>364</v>
      </c>
      <c r="S33" s="1" t="s">
        <v>365</v>
      </c>
      <c r="T33" s="1" t="s">
        <v>51</v>
      </c>
      <c r="U33" s="5">
        <v>46106.44985194445</v>
      </c>
    </row>
    <row r="34" ht="15.75" customHeight="1">
      <c r="A34" s="1" t="s">
        <v>32</v>
      </c>
      <c r="B34" s="1" t="s">
        <v>367</v>
      </c>
      <c r="C34" s="1" t="s">
        <v>368</v>
      </c>
      <c r="D34" s="1" t="s">
        <v>369</v>
      </c>
      <c r="E34" s="1" t="s">
        <v>370</v>
      </c>
      <c r="F34" s="1" t="s">
        <v>39</v>
      </c>
      <c r="G34" s="1" t="s">
        <v>371</v>
      </c>
      <c r="H34" s="1" t="s">
        <v>41</v>
      </c>
      <c r="I34" s="1" t="s">
        <v>372</v>
      </c>
      <c r="J34" s="1" t="s">
        <v>359</v>
      </c>
      <c r="K34" s="1" t="s">
        <v>373</v>
      </c>
      <c r="L34" s="1" t="s">
        <v>374</v>
      </c>
      <c r="M34" s="1" t="s">
        <v>363</v>
      </c>
      <c r="O34" s="1" t="b">
        <v>0</v>
      </c>
      <c r="P34" s="12">
        <v>0.3958333333333333</v>
      </c>
      <c r="Q34" s="12">
        <v>0.7638888888888888</v>
      </c>
      <c r="R34" s="1" t="s">
        <v>376</v>
      </c>
      <c r="S34" s="1" t="s">
        <v>377</v>
      </c>
      <c r="T34" s="1" t="s">
        <v>51</v>
      </c>
      <c r="U34" s="5">
        <v>46106.45061166667</v>
      </c>
    </row>
    <row r="35" ht="15.75" customHeight="1">
      <c r="A35" s="1" t="s">
        <v>32</v>
      </c>
      <c r="B35" s="1" t="s">
        <v>379</v>
      </c>
      <c r="C35" s="1" t="s">
        <v>380</v>
      </c>
      <c r="D35" s="1" t="s">
        <v>381</v>
      </c>
      <c r="E35" s="1" t="s">
        <v>382</v>
      </c>
      <c r="F35" s="1" t="s">
        <v>383</v>
      </c>
      <c r="G35" s="1" t="s">
        <v>371</v>
      </c>
      <c r="H35" s="1" t="s">
        <v>41</v>
      </c>
      <c r="I35" s="1" t="s">
        <v>384</v>
      </c>
      <c r="J35" s="1" t="s">
        <v>385</v>
      </c>
      <c r="K35" s="1" t="s">
        <v>386</v>
      </c>
      <c r="L35" s="1" t="s">
        <v>388</v>
      </c>
      <c r="M35" s="1" t="s">
        <v>363</v>
      </c>
      <c r="O35" s="1" t="b">
        <v>0</v>
      </c>
      <c r="P35" s="12">
        <v>0.4166666666666667</v>
      </c>
      <c r="Q35" s="12">
        <v>0.8125</v>
      </c>
      <c r="R35" s="1" t="s">
        <v>391</v>
      </c>
      <c r="S35" s="1" t="s">
        <v>392</v>
      </c>
      <c r="T35" s="1" t="s">
        <v>51</v>
      </c>
      <c r="U35" s="5">
        <v>46106.45899251157</v>
      </c>
    </row>
    <row r="36" ht="15.75" customHeight="1">
      <c r="A36" s="1" t="s">
        <v>32</v>
      </c>
      <c r="B36" s="1" t="s">
        <v>393</v>
      </c>
      <c r="C36" s="1" t="s">
        <v>394</v>
      </c>
      <c r="D36" s="1" t="s">
        <v>395</v>
      </c>
      <c r="E36" s="1" t="s">
        <v>396</v>
      </c>
      <c r="F36" s="1" t="s">
        <v>39</v>
      </c>
      <c r="G36" s="1" t="s">
        <v>333</v>
      </c>
      <c r="H36" s="1" t="s">
        <v>41</v>
      </c>
      <c r="I36" s="1" t="s">
        <v>397</v>
      </c>
      <c r="J36" s="1" t="s">
        <v>385</v>
      </c>
      <c r="K36" s="1" t="s">
        <v>398</v>
      </c>
      <c r="L36" s="1" t="s">
        <v>399</v>
      </c>
      <c r="M36" s="1" t="s">
        <v>363</v>
      </c>
      <c r="O36" s="1" t="b">
        <v>0</v>
      </c>
      <c r="P36" s="12">
        <v>0.3958333333333333</v>
      </c>
      <c r="Q36" s="12">
        <v>0.7708333333333334</v>
      </c>
      <c r="R36" s="1" t="s">
        <v>401</v>
      </c>
      <c r="S36" s="1" t="s">
        <v>402</v>
      </c>
      <c r="T36" s="1" t="s">
        <v>51</v>
      </c>
      <c r="U36" s="5">
        <v>46106.46554675926</v>
      </c>
    </row>
    <row r="37" ht="15.75" customHeight="1">
      <c r="A37" s="1" t="s">
        <v>32</v>
      </c>
      <c r="B37" s="1" t="s">
        <v>404</v>
      </c>
      <c r="C37" s="1" t="s">
        <v>405</v>
      </c>
      <c r="D37" s="1" t="s">
        <v>406</v>
      </c>
      <c r="E37" s="1" t="s">
        <v>331</v>
      </c>
      <c r="F37" s="1" t="s">
        <v>332</v>
      </c>
      <c r="G37" s="1" t="s">
        <v>333</v>
      </c>
      <c r="H37" s="1" t="s">
        <v>41</v>
      </c>
      <c r="I37" s="1" t="s">
        <v>409</v>
      </c>
      <c r="J37" s="1" t="s">
        <v>385</v>
      </c>
      <c r="K37" s="1" t="s">
        <v>411</v>
      </c>
      <c r="L37" s="1" t="s">
        <v>412</v>
      </c>
      <c r="M37" s="1" t="s">
        <v>363</v>
      </c>
      <c r="O37" s="1" t="b">
        <v>0</v>
      </c>
      <c r="P37" s="12">
        <v>0.4166666666666667</v>
      </c>
      <c r="Q37" s="12">
        <v>0.9166666666666666</v>
      </c>
      <c r="R37" s="1" t="s">
        <v>413</v>
      </c>
      <c r="S37" s="1" t="s">
        <v>414</v>
      </c>
      <c r="T37" s="1" t="s">
        <v>51</v>
      </c>
      <c r="U37" s="5">
        <v>46106.47068340277</v>
      </c>
    </row>
    <row r="38" ht="15.75" customHeight="1">
      <c r="A38" s="1" t="s">
        <v>32</v>
      </c>
      <c r="B38" s="1" t="s">
        <v>415</v>
      </c>
      <c r="C38" s="1" t="s">
        <v>416</v>
      </c>
      <c r="D38" s="1" t="s">
        <v>417</v>
      </c>
      <c r="E38" s="1" t="s">
        <v>418</v>
      </c>
      <c r="F38" s="1" t="s">
        <v>39</v>
      </c>
      <c r="G38" s="1" t="s">
        <v>333</v>
      </c>
      <c r="H38" s="1" t="s">
        <v>41</v>
      </c>
      <c r="I38" s="1" t="s">
        <v>420</v>
      </c>
      <c r="J38" s="1" t="s">
        <v>43</v>
      </c>
      <c r="K38" s="1" t="s">
        <v>421</v>
      </c>
      <c r="L38" s="1" t="s">
        <v>422</v>
      </c>
      <c r="M38" s="1" t="s">
        <v>46</v>
      </c>
      <c r="O38" s="1" t="b">
        <v>0</v>
      </c>
      <c r="P38" s="12">
        <v>0.375</v>
      </c>
      <c r="Q38" s="12">
        <v>0.7916666666666666</v>
      </c>
      <c r="R38" s="1" t="s">
        <v>423</v>
      </c>
      <c r="S38" s="1" t="s">
        <v>424</v>
      </c>
      <c r="T38" s="1" t="s">
        <v>51</v>
      </c>
      <c r="U38" s="5">
        <v>46044.73241112268</v>
      </c>
    </row>
    <row r="39" ht="15.75" customHeight="1">
      <c r="A39" s="1" t="s">
        <v>32</v>
      </c>
      <c r="B39" s="1" t="s">
        <v>426</v>
      </c>
      <c r="C39" s="1" t="s">
        <v>405</v>
      </c>
      <c r="D39" s="1" t="s">
        <v>428</v>
      </c>
      <c r="E39" s="1" t="s">
        <v>331</v>
      </c>
      <c r="F39" s="1" t="s">
        <v>429</v>
      </c>
      <c r="G39" s="1" t="s">
        <v>333</v>
      </c>
      <c r="H39" s="1" t="s">
        <v>41</v>
      </c>
      <c r="I39" s="1" t="s">
        <v>430</v>
      </c>
      <c r="J39" s="1" t="s">
        <v>431</v>
      </c>
      <c r="K39" s="1" t="s">
        <v>432</v>
      </c>
      <c r="L39" s="1" t="s">
        <v>433</v>
      </c>
      <c r="M39" s="1" t="s">
        <v>363</v>
      </c>
      <c r="O39" s="1" t="b">
        <v>0</v>
      </c>
      <c r="P39" s="12">
        <v>0.4166666666666667</v>
      </c>
      <c r="Q39" s="12">
        <v>0.9166666666666666</v>
      </c>
      <c r="R39" s="1" t="s">
        <v>435</v>
      </c>
      <c r="S39" s="1" t="s">
        <v>436</v>
      </c>
      <c r="T39" s="1" t="s">
        <v>51</v>
      </c>
      <c r="U39" s="5">
        <v>46106.47898178241</v>
      </c>
    </row>
    <row r="40" ht="15.75" customHeight="1">
      <c r="A40" s="1" t="s">
        <v>32</v>
      </c>
      <c r="B40" s="1" t="s">
        <v>437</v>
      </c>
      <c r="C40" s="1" t="s">
        <v>438</v>
      </c>
      <c r="D40" s="1" t="s">
        <v>439</v>
      </c>
      <c r="E40" s="1" t="s">
        <v>440</v>
      </c>
      <c r="F40" s="1" t="s">
        <v>39</v>
      </c>
      <c r="G40" s="1" t="s">
        <v>127</v>
      </c>
      <c r="H40" s="1" t="s">
        <v>41</v>
      </c>
      <c r="I40" s="1" t="s">
        <v>441</v>
      </c>
      <c r="J40" s="1" t="s">
        <v>43</v>
      </c>
      <c r="K40" s="1" t="s">
        <v>442</v>
      </c>
      <c r="L40" s="1" t="s">
        <v>443</v>
      </c>
      <c r="M40" s="1" t="s">
        <v>46</v>
      </c>
      <c r="O40" s="1" t="b">
        <v>0</v>
      </c>
      <c r="P40" s="12">
        <v>0.375</v>
      </c>
      <c r="Q40" s="12">
        <v>0.7916666666666666</v>
      </c>
      <c r="R40" s="1" t="s">
        <v>445</v>
      </c>
      <c r="S40" s="1" t="s">
        <v>446</v>
      </c>
      <c r="T40" s="1" t="s">
        <v>51</v>
      </c>
      <c r="U40" s="5">
        <v>46044.73306513889</v>
      </c>
    </row>
    <row r="41" ht="15.75" customHeight="1">
      <c r="A41" s="1" t="s">
        <v>32</v>
      </c>
      <c r="B41" s="1" t="s">
        <v>447</v>
      </c>
      <c r="C41" s="1" t="s">
        <v>448</v>
      </c>
      <c r="D41" s="1" t="s">
        <v>449</v>
      </c>
      <c r="E41" s="1" t="s">
        <v>450</v>
      </c>
      <c r="F41" s="1" t="s">
        <v>451</v>
      </c>
      <c r="G41" s="1" t="s">
        <v>452</v>
      </c>
      <c r="H41" s="1" t="s">
        <v>41</v>
      </c>
      <c r="I41" s="1" t="s">
        <v>453</v>
      </c>
      <c r="J41" s="1" t="s">
        <v>359</v>
      </c>
      <c r="K41" s="1" t="s">
        <v>455</v>
      </c>
      <c r="L41" s="1" t="s">
        <v>456</v>
      </c>
      <c r="M41" s="1" t="s">
        <v>363</v>
      </c>
      <c r="O41" s="1" t="b">
        <v>0</v>
      </c>
      <c r="P41" s="12">
        <v>0.375</v>
      </c>
      <c r="Q41" s="12">
        <v>0.75</v>
      </c>
      <c r="R41" s="1" t="s">
        <v>458</v>
      </c>
      <c r="S41" s="1" t="s">
        <v>459</v>
      </c>
      <c r="T41" s="1" t="s">
        <v>51</v>
      </c>
      <c r="U41" s="5">
        <v>46106.48371995371</v>
      </c>
    </row>
    <row r="42" ht="15.75" customHeight="1">
      <c r="A42" s="1" t="s">
        <v>32</v>
      </c>
      <c r="B42" s="1" t="s">
        <v>461</v>
      </c>
      <c r="C42" s="1" t="s">
        <v>380</v>
      </c>
      <c r="D42" s="1" t="s">
        <v>462</v>
      </c>
      <c r="E42" s="1" t="s">
        <v>382</v>
      </c>
      <c r="F42" s="1" t="s">
        <v>383</v>
      </c>
      <c r="G42" s="1" t="s">
        <v>371</v>
      </c>
      <c r="H42" s="1" t="s">
        <v>41</v>
      </c>
      <c r="I42" s="1" t="s">
        <v>463</v>
      </c>
      <c r="J42" s="1" t="s">
        <v>254</v>
      </c>
      <c r="K42" s="1" t="s">
        <v>464</v>
      </c>
      <c r="L42" s="1" t="s">
        <v>465</v>
      </c>
      <c r="M42" s="1" t="s">
        <v>46</v>
      </c>
      <c r="O42" s="1" t="b">
        <v>0</v>
      </c>
      <c r="P42" s="12">
        <v>0.4166666666666667</v>
      </c>
      <c r="Q42" s="12">
        <v>0.9166666666666666</v>
      </c>
      <c r="R42" s="1" t="s">
        <v>467</v>
      </c>
      <c r="S42" s="1" t="s">
        <v>468</v>
      </c>
      <c r="T42" s="1" t="s">
        <v>51</v>
      </c>
      <c r="U42" s="5">
        <v>46106.48930826389</v>
      </c>
    </row>
    <row r="43" ht="15.75" customHeight="1">
      <c r="A43" s="1" t="s">
        <v>32</v>
      </c>
      <c r="B43" s="1" t="s">
        <v>469</v>
      </c>
      <c r="C43" s="1" t="s">
        <v>470</v>
      </c>
      <c r="D43" s="1" t="s">
        <v>471</v>
      </c>
      <c r="E43" s="1" t="s">
        <v>472</v>
      </c>
      <c r="F43" s="1" t="s">
        <v>473</v>
      </c>
      <c r="G43" s="1" t="s">
        <v>474</v>
      </c>
      <c r="H43" s="1" t="s">
        <v>41</v>
      </c>
      <c r="I43" s="1" t="s">
        <v>476</v>
      </c>
      <c r="J43" s="1" t="s">
        <v>43</v>
      </c>
      <c r="K43" s="1" t="s">
        <v>478</v>
      </c>
      <c r="L43" s="1" t="s">
        <v>479</v>
      </c>
      <c r="M43" s="1" t="s">
        <v>46</v>
      </c>
      <c r="O43" s="1" t="b">
        <v>0</v>
      </c>
      <c r="P43" s="12">
        <v>0.4166666666666667</v>
      </c>
      <c r="Q43" s="12">
        <v>0.9166666666666666</v>
      </c>
      <c r="R43" s="1" t="s">
        <v>480</v>
      </c>
      <c r="S43" s="1" t="s">
        <v>481</v>
      </c>
      <c r="T43" s="1" t="s">
        <v>51</v>
      </c>
      <c r="U43" s="5">
        <v>46044.73341042824</v>
      </c>
    </row>
    <row r="44" ht="15.75" customHeight="1">
      <c r="A44" s="1" t="s">
        <v>32</v>
      </c>
      <c r="B44" s="1" t="s">
        <v>483</v>
      </c>
      <c r="C44" s="1" t="s">
        <v>485</v>
      </c>
      <c r="D44" s="1" t="s">
        <v>486</v>
      </c>
      <c r="E44" s="1" t="s">
        <v>487</v>
      </c>
      <c r="F44" s="1" t="s">
        <v>39</v>
      </c>
      <c r="G44" s="1" t="s">
        <v>488</v>
      </c>
      <c r="H44" s="1" t="s">
        <v>41</v>
      </c>
      <c r="I44" s="1" t="s">
        <v>489</v>
      </c>
      <c r="J44" s="1" t="s">
        <v>43</v>
      </c>
      <c r="K44" s="1" t="s">
        <v>491</v>
      </c>
      <c r="L44" s="1" t="s">
        <v>492</v>
      </c>
      <c r="M44" s="1" t="s">
        <v>46</v>
      </c>
      <c r="O44" s="1" t="b">
        <v>0</v>
      </c>
      <c r="P44" s="12">
        <v>0.375</v>
      </c>
      <c r="Q44" s="12">
        <v>0.7916666666666666</v>
      </c>
      <c r="R44" s="1" t="s">
        <v>493</v>
      </c>
      <c r="S44" s="1" t="s">
        <v>495</v>
      </c>
      <c r="T44" s="1" t="s">
        <v>51</v>
      </c>
      <c r="U44" s="5">
        <v>46044.7350871875</v>
      </c>
    </row>
    <row r="45" ht="15.75" customHeight="1">
      <c r="A45" s="1" t="s">
        <v>497</v>
      </c>
      <c r="B45" s="1" t="s">
        <v>498</v>
      </c>
      <c r="C45" s="1" t="s">
        <v>96</v>
      </c>
      <c r="D45" s="1" t="s">
        <v>98</v>
      </c>
      <c r="E45" s="1" t="s">
        <v>99</v>
      </c>
      <c r="F45" s="1" t="s">
        <v>57</v>
      </c>
      <c r="G45" s="1" t="s">
        <v>40</v>
      </c>
      <c r="H45" s="1" t="s">
        <v>41</v>
      </c>
      <c r="I45" s="1" t="s">
        <v>499</v>
      </c>
      <c r="J45" s="1" t="s">
        <v>335</v>
      </c>
      <c r="K45" s="1" t="s">
        <v>500</v>
      </c>
      <c r="O45" s="1" t="b">
        <v>0</v>
      </c>
      <c r="R45" s="1" t="s">
        <v>502</v>
      </c>
      <c r="T45" s="1" t="s">
        <v>51</v>
      </c>
      <c r="U45" s="5">
        <v>46045.73509259259</v>
      </c>
    </row>
    <row r="46" ht="15.75" customHeight="1">
      <c r="A46" s="1" t="s">
        <v>32</v>
      </c>
      <c r="B46" s="1" t="s">
        <v>503</v>
      </c>
      <c r="C46" s="1" t="s">
        <v>504</v>
      </c>
      <c r="D46" s="1" t="s">
        <v>505</v>
      </c>
      <c r="E46" s="1" t="s">
        <v>506</v>
      </c>
      <c r="F46" s="1" t="s">
        <v>507</v>
      </c>
      <c r="G46" s="1" t="s">
        <v>508</v>
      </c>
      <c r="H46" s="1" t="s">
        <v>41</v>
      </c>
      <c r="I46" s="1" t="s">
        <v>509</v>
      </c>
      <c r="J46" s="1" t="s">
        <v>43</v>
      </c>
      <c r="K46" s="1" t="s">
        <v>511</v>
      </c>
      <c r="L46" s="1" t="s">
        <v>512</v>
      </c>
      <c r="M46" s="1" t="s">
        <v>46</v>
      </c>
      <c r="O46" s="1" t="b">
        <v>0</v>
      </c>
      <c r="P46" s="12">
        <v>0.4166666666666667</v>
      </c>
      <c r="Q46" s="12">
        <v>0.9166666666666666</v>
      </c>
      <c r="R46" s="1" t="s">
        <v>514</v>
      </c>
      <c r="S46" s="1" t="s">
        <v>515</v>
      </c>
      <c r="T46" s="1" t="s">
        <v>51</v>
      </c>
      <c r="U46" s="5">
        <v>46044.73396927083</v>
      </c>
    </row>
    <row r="47" ht="15.75" customHeight="1">
      <c r="A47" s="1" t="s">
        <v>32</v>
      </c>
      <c r="B47" s="1" t="s">
        <v>518</v>
      </c>
      <c r="C47" s="1" t="s">
        <v>519</v>
      </c>
      <c r="D47" s="1" t="s">
        <v>520</v>
      </c>
      <c r="E47" s="1" t="s">
        <v>521</v>
      </c>
      <c r="F47" s="1" t="s">
        <v>39</v>
      </c>
      <c r="G47" s="1" t="s">
        <v>508</v>
      </c>
      <c r="H47" s="1" t="s">
        <v>41</v>
      </c>
      <c r="I47" s="1" t="s">
        <v>522</v>
      </c>
      <c r="J47" s="1" t="s">
        <v>43</v>
      </c>
      <c r="K47" s="1" t="s">
        <v>523</v>
      </c>
      <c r="L47" s="1" t="s">
        <v>524</v>
      </c>
      <c r="M47" s="1" t="s">
        <v>46</v>
      </c>
      <c r="O47" s="1" t="b">
        <v>0</v>
      </c>
      <c r="P47" s="12">
        <v>0.375</v>
      </c>
      <c r="Q47" s="12">
        <v>0.7916666666666666</v>
      </c>
      <c r="R47" s="1" t="s">
        <v>526</v>
      </c>
      <c r="S47" s="1" t="s">
        <v>527</v>
      </c>
      <c r="T47" s="1" t="s">
        <v>51</v>
      </c>
      <c r="U47" s="5">
        <v>46044.73543667824</v>
      </c>
    </row>
    <row r="48" ht="15.75" customHeight="1">
      <c r="A48" s="1" t="s">
        <v>32</v>
      </c>
      <c r="B48" s="1" t="s">
        <v>529</v>
      </c>
      <c r="C48" s="1" t="s">
        <v>530</v>
      </c>
      <c r="D48" s="1" t="s">
        <v>531</v>
      </c>
      <c r="E48" s="1" t="s">
        <v>532</v>
      </c>
      <c r="F48" s="1" t="s">
        <v>39</v>
      </c>
      <c r="G48" s="1" t="s">
        <v>533</v>
      </c>
      <c r="H48" s="1" t="s">
        <v>41</v>
      </c>
      <c r="I48" s="1" t="s">
        <v>534</v>
      </c>
      <c r="J48" s="1" t="s">
        <v>43</v>
      </c>
      <c r="K48" s="1" t="s">
        <v>535</v>
      </c>
      <c r="L48" s="1" t="s">
        <v>536</v>
      </c>
      <c r="M48" s="1" t="s">
        <v>46</v>
      </c>
      <c r="O48" s="1" t="b">
        <v>0</v>
      </c>
      <c r="P48" s="12">
        <v>0.375</v>
      </c>
      <c r="Q48" s="12">
        <v>0.7916666666666666</v>
      </c>
      <c r="R48" s="1" t="s">
        <v>537</v>
      </c>
      <c r="S48" s="1" t="s">
        <v>538</v>
      </c>
      <c r="T48" s="1" t="s">
        <v>51</v>
      </c>
      <c r="U48" s="5">
        <v>46044.73598775463</v>
      </c>
    </row>
    <row r="49" ht="15.75" customHeight="1">
      <c r="A49" s="1" t="s">
        <v>32</v>
      </c>
      <c r="B49" s="1" t="s">
        <v>539</v>
      </c>
      <c r="C49" s="1" t="s">
        <v>540</v>
      </c>
      <c r="D49" s="1" t="s">
        <v>541</v>
      </c>
      <c r="E49" s="1" t="s">
        <v>110</v>
      </c>
      <c r="F49" s="1" t="s">
        <v>111</v>
      </c>
      <c r="G49" s="1" t="s">
        <v>40</v>
      </c>
      <c r="H49" s="1" t="s">
        <v>41</v>
      </c>
      <c r="I49" s="1" t="s">
        <v>542</v>
      </c>
      <c r="J49" s="1" t="s">
        <v>543</v>
      </c>
      <c r="K49" s="1" t="s">
        <v>544</v>
      </c>
      <c r="L49" s="1" t="s">
        <v>545</v>
      </c>
      <c r="M49" s="1" t="s">
        <v>161</v>
      </c>
      <c r="O49" s="1" t="b">
        <v>0</v>
      </c>
      <c r="P49" s="12">
        <v>0.4166666666666667</v>
      </c>
      <c r="Q49" s="12">
        <v>0.9166666666666666</v>
      </c>
      <c r="T49" s="1" t="s">
        <v>51</v>
      </c>
      <c r="U49" s="5">
        <v>46106.50247771991</v>
      </c>
    </row>
    <row r="50" ht="15.75" customHeight="1">
      <c r="A50" s="1" t="s">
        <v>32</v>
      </c>
      <c r="B50" s="1" t="s">
        <v>547</v>
      </c>
      <c r="C50" s="1" t="s">
        <v>549</v>
      </c>
      <c r="D50" s="1" t="s">
        <v>551</v>
      </c>
      <c r="E50" s="1" t="s">
        <v>552</v>
      </c>
      <c r="F50" s="1" t="s">
        <v>553</v>
      </c>
      <c r="G50" s="1" t="s">
        <v>554</v>
      </c>
      <c r="H50" s="1" t="s">
        <v>41</v>
      </c>
      <c r="I50" s="1" t="s">
        <v>556</v>
      </c>
      <c r="J50" s="1" t="s">
        <v>43</v>
      </c>
      <c r="K50" s="1" t="s">
        <v>557</v>
      </c>
      <c r="L50" s="1" t="s">
        <v>558</v>
      </c>
      <c r="M50" s="1" t="s">
        <v>46</v>
      </c>
      <c r="O50" s="1" t="b">
        <v>0</v>
      </c>
      <c r="P50" s="12">
        <v>0.4166666666666667</v>
      </c>
      <c r="Q50" s="12">
        <v>0.9166666666666666</v>
      </c>
      <c r="R50" s="1" t="s">
        <v>559</v>
      </c>
      <c r="S50" s="1" t="s">
        <v>560</v>
      </c>
      <c r="T50" s="1" t="s">
        <v>51</v>
      </c>
      <c r="U50" s="5">
        <v>46044.73630670139</v>
      </c>
    </row>
    <row r="51" ht="15.75" customHeight="1">
      <c r="A51" s="1" t="s">
        <v>32</v>
      </c>
      <c r="B51" s="1" t="s">
        <v>561</v>
      </c>
      <c r="C51" s="1" t="s">
        <v>562</v>
      </c>
      <c r="D51" s="1" t="s">
        <v>563</v>
      </c>
      <c r="E51" s="1" t="s">
        <v>564</v>
      </c>
      <c r="F51" s="1" t="s">
        <v>39</v>
      </c>
      <c r="G51" s="1" t="s">
        <v>565</v>
      </c>
      <c r="H51" s="1" t="s">
        <v>41</v>
      </c>
      <c r="I51" s="1" t="s">
        <v>566</v>
      </c>
      <c r="J51" s="1" t="s">
        <v>43</v>
      </c>
      <c r="K51" s="1" t="s">
        <v>568</v>
      </c>
      <c r="L51" s="1" t="s">
        <v>569</v>
      </c>
      <c r="M51" s="1" t="s">
        <v>46</v>
      </c>
      <c r="O51" s="1" t="b">
        <v>0</v>
      </c>
      <c r="P51" s="12">
        <v>0.375</v>
      </c>
      <c r="Q51" s="12">
        <v>0.7916666666666666</v>
      </c>
      <c r="R51" s="1" t="s">
        <v>570</v>
      </c>
      <c r="S51" s="1" t="s">
        <v>571</v>
      </c>
      <c r="T51" s="1" t="s">
        <v>51</v>
      </c>
      <c r="U51" s="5">
        <v>46044.73665443287</v>
      </c>
    </row>
    <row r="52" ht="15.75" customHeight="1">
      <c r="A52" s="1" t="s">
        <v>32</v>
      </c>
      <c r="B52" s="1" t="s">
        <v>573</v>
      </c>
      <c r="C52" s="1" t="s">
        <v>405</v>
      </c>
      <c r="D52" s="1" t="s">
        <v>574</v>
      </c>
      <c r="E52" s="1" t="s">
        <v>331</v>
      </c>
      <c r="F52" s="1" t="s">
        <v>429</v>
      </c>
      <c r="G52" s="1" t="s">
        <v>333</v>
      </c>
      <c r="H52" s="1" t="s">
        <v>41</v>
      </c>
      <c r="I52" s="1" t="s">
        <v>577</v>
      </c>
      <c r="J52" s="1" t="s">
        <v>578</v>
      </c>
      <c r="K52" s="1" t="s">
        <v>579</v>
      </c>
      <c r="L52" s="1" t="s">
        <v>580</v>
      </c>
      <c r="M52" s="1" t="s">
        <v>363</v>
      </c>
      <c r="O52" s="1" t="b">
        <v>0</v>
      </c>
      <c r="P52" s="12">
        <v>0.4166666666666667</v>
      </c>
      <c r="Q52" s="12">
        <v>0.9166666666666666</v>
      </c>
      <c r="R52" s="1" t="s">
        <v>581</v>
      </c>
      <c r="T52" s="1" t="s">
        <v>51</v>
      </c>
      <c r="U52" s="5">
        <v>46164.63313459491</v>
      </c>
    </row>
    <row r="53" ht="15.75" customHeight="1">
      <c r="A53" s="1" t="s">
        <v>32</v>
      </c>
      <c r="B53" s="1" t="s">
        <v>583</v>
      </c>
      <c r="C53" s="1" t="s">
        <v>584</v>
      </c>
      <c r="D53" s="1" t="s">
        <v>585</v>
      </c>
      <c r="E53" s="1" t="s">
        <v>586</v>
      </c>
      <c r="F53" s="1" t="s">
        <v>587</v>
      </c>
      <c r="G53" s="1" t="s">
        <v>588</v>
      </c>
      <c r="H53" s="1" t="s">
        <v>41</v>
      </c>
      <c r="I53" s="1" t="s">
        <v>589</v>
      </c>
      <c r="J53" s="1" t="s">
        <v>578</v>
      </c>
      <c r="K53" s="1" t="s">
        <v>590</v>
      </c>
      <c r="L53" s="1" t="s">
        <v>591</v>
      </c>
      <c r="M53" s="1" t="s">
        <v>363</v>
      </c>
      <c r="O53" s="1" t="b">
        <v>0</v>
      </c>
      <c r="P53" s="12">
        <v>0.4166666666666667</v>
      </c>
      <c r="Q53" s="12">
        <v>0.9166666666666666</v>
      </c>
      <c r="R53" s="1" t="s">
        <v>592</v>
      </c>
      <c r="T53" s="1" t="s">
        <v>51</v>
      </c>
      <c r="U53" s="5">
        <v>46106.52184408565</v>
      </c>
    </row>
    <row r="54" ht="15.75" customHeight="1">
      <c r="A54" s="1" t="s">
        <v>32</v>
      </c>
      <c r="B54" s="1" t="s">
        <v>593</v>
      </c>
      <c r="C54" s="1" t="s">
        <v>380</v>
      </c>
      <c r="D54" s="1" t="s">
        <v>594</v>
      </c>
      <c r="E54" s="1" t="s">
        <v>382</v>
      </c>
      <c r="F54" s="1" t="s">
        <v>597</v>
      </c>
      <c r="G54" s="1" t="s">
        <v>371</v>
      </c>
      <c r="H54" s="1" t="s">
        <v>41</v>
      </c>
      <c r="I54" s="1" t="s">
        <v>598</v>
      </c>
      <c r="J54" s="1" t="s">
        <v>578</v>
      </c>
      <c r="K54" s="1" t="s">
        <v>599</v>
      </c>
      <c r="L54" s="1" t="s">
        <v>600</v>
      </c>
      <c r="M54" s="1" t="s">
        <v>363</v>
      </c>
      <c r="O54" s="1" t="b">
        <v>0</v>
      </c>
      <c r="P54" s="12">
        <v>0.4166666666666667</v>
      </c>
      <c r="Q54" s="12">
        <v>0.9166666666666666</v>
      </c>
      <c r="R54" s="1" t="s">
        <v>602</v>
      </c>
      <c r="T54" s="1" t="s">
        <v>51</v>
      </c>
      <c r="U54" s="5">
        <v>46106.5300263426</v>
      </c>
    </row>
    <row r="55" ht="15.75" customHeight="1">
      <c r="A55" s="1" t="s">
        <v>32</v>
      </c>
      <c r="B55" s="1" t="s">
        <v>605</v>
      </c>
      <c r="C55" s="1" t="s">
        <v>606</v>
      </c>
      <c r="D55" s="1" t="s">
        <v>608</v>
      </c>
      <c r="E55" s="1" t="s">
        <v>609</v>
      </c>
      <c r="F55" s="1" t="s">
        <v>610</v>
      </c>
      <c r="G55" s="1" t="s">
        <v>565</v>
      </c>
      <c r="H55" s="1" t="s">
        <v>41</v>
      </c>
      <c r="I55" s="1" t="s">
        <v>612</v>
      </c>
      <c r="J55" s="1" t="s">
        <v>43</v>
      </c>
      <c r="K55" s="1" t="s">
        <v>613</v>
      </c>
      <c r="L55" s="1" t="s">
        <v>614</v>
      </c>
      <c r="M55" s="1" t="s">
        <v>46</v>
      </c>
      <c r="O55" s="1" t="b">
        <v>0</v>
      </c>
      <c r="P55" s="12">
        <v>0.4166666666666667</v>
      </c>
      <c r="Q55" s="12">
        <v>0.9166666666666666</v>
      </c>
      <c r="R55" s="1" t="s">
        <v>615</v>
      </c>
      <c r="S55" s="1" t="s">
        <v>616</v>
      </c>
      <c r="T55" s="1" t="s">
        <v>51</v>
      </c>
      <c r="U55" s="5">
        <v>46044.73728601852</v>
      </c>
    </row>
    <row r="56" ht="15.75" customHeight="1">
      <c r="A56" s="1" t="s">
        <v>32</v>
      </c>
      <c r="B56" s="1" t="s">
        <v>618</v>
      </c>
      <c r="C56" s="1" t="s">
        <v>619</v>
      </c>
      <c r="D56" s="1" t="s">
        <v>620</v>
      </c>
      <c r="E56" s="1" t="s">
        <v>621</v>
      </c>
      <c r="F56" s="1" t="s">
        <v>622</v>
      </c>
      <c r="G56" s="1" t="s">
        <v>623</v>
      </c>
      <c r="H56" s="1" t="s">
        <v>41</v>
      </c>
      <c r="I56" s="1" t="s">
        <v>624</v>
      </c>
      <c r="J56" s="1" t="s">
        <v>578</v>
      </c>
      <c r="K56" s="1" t="s">
        <v>625</v>
      </c>
      <c r="L56" s="1" t="s">
        <v>626</v>
      </c>
      <c r="M56" s="1" t="s">
        <v>363</v>
      </c>
      <c r="O56" s="1" t="b">
        <v>0</v>
      </c>
      <c r="P56" s="12">
        <v>0.4166666666666667</v>
      </c>
      <c r="Q56" s="12">
        <v>0.9166666666666666</v>
      </c>
      <c r="R56" s="1" t="s">
        <v>627</v>
      </c>
      <c r="T56" s="1" t="s">
        <v>51</v>
      </c>
      <c r="U56" s="5">
        <v>46106.53410561343</v>
      </c>
    </row>
    <row r="57" ht="15.75" customHeight="1">
      <c r="A57" s="1" t="s">
        <v>32</v>
      </c>
      <c r="B57" s="1" t="s">
        <v>628</v>
      </c>
      <c r="C57" s="1" t="s">
        <v>629</v>
      </c>
      <c r="D57" s="1" t="s">
        <v>630</v>
      </c>
      <c r="E57" s="1" t="s">
        <v>382</v>
      </c>
      <c r="F57" s="1" t="s">
        <v>597</v>
      </c>
      <c r="G57" s="1" t="s">
        <v>371</v>
      </c>
      <c r="H57" s="1" t="s">
        <v>41</v>
      </c>
      <c r="I57" s="1" t="s">
        <v>631</v>
      </c>
      <c r="J57" s="1" t="s">
        <v>632</v>
      </c>
      <c r="K57" s="1" t="s">
        <v>633</v>
      </c>
      <c r="L57" s="1" t="s">
        <v>634</v>
      </c>
      <c r="M57" s="1" t="s">
        <v>363</v>
      </c>
      <c r="O57" s="1" t="b">
        <v>0</v>
      </c>
      <c r="P57" s="12">
        <v>0.4166666666666667</v>
      </c>
      <c r="Q57" s="12">
        <v>0.9166666666666666</v>
      </c>
      <c r="R57" s="1" t="s">
        <v>635</v>
      </c>
      <c r="S57" s="1" t="s">
        <v>636</v>
      </c>
      <c r="T57" s="1" t="s">
        <v>51</v>
      </c>
      <c r="U57" s="5">
        <v>46106.53829473379</v>
      </c>
    </row>
    <row r="58" ht="15.75" customHeight="1">
      <c r="A58" s="1" t="s">
        <v>32</v>
      </c>
      <c r="B58" s="1" t="s">
        <v>638</v>
      </c>
      <c r="C58" s="1" t="s">
        <v>639</v>
      </c>
      <c r="D58" s="1" t="s">
        <v>640</v>
      </c>
      <c r="E58" s="1" t="s">
        <v>641</v>
      </c>
      <c r="F58" s="1" t="s">
        <v>39</v>
      </c>
      <c r="G58" s="1" t="s">
        <v>643</v>
      </c>
      <c r="H58" s="1" t="s">
        <v>41</v>
      </c>
      <c r="I58" s="1" t="s">
        <v>644</v>
      </c>
      <c r="J58" s="1" t="s">
        <v>43</v>
      </c>
      <c r="K58" s="1" t="s">
        <v>645</v>
      </c>
      <c r="L58" s="1" t="s">
        <v>646</v>
      </c>
      <c r="M58" s="1" t="s">
        <v>46</v>
      </c>
      <c r="O58" s="1" t="b">
        <v>0</v>
      </c>
      <c r="P58" s="12">
        <v>0.375</v>
      </c>
      <c r="Q58" s="12">
        <v>0.7916666666666666</v>
      </c>
      <c r="R58" s="1" t="s">
        <v>647</v>
      </c>
      <c r="S58" s="1" t="s">
        <v>648</v>
      </c>
      <c r="T58" s="1" t="s">
        <v>51</v>
      </c>
      <c r="U58" s="5">
        <v>46044.73763592593</v>
      </c>
    </row>
    <row r="59" ht="15.75" customHeight="1">
      <c r="A59" s="1" t="s">
        <v>32</v>
      </c>
      <c r="B59" s="1" t="s">
        <v>650</v>
      </c>
      <c r="C59" s="1" t="s">
        <v>651</v>
      </c>
      <c r="D59" s="1" t="s">
        <v>652</v>
      </c>
      <c r="E59" s="1" t="s">
        <v>653</v>
      </c>
      <c r="F59" s="1" t="s">
        <v>39</v>
      </c>
      <c r="G59" s="1" t="s">
        <v>654</v>
      </c>
      <c r="H59" s="1" t="s">
        <v>41</v>
      </c>
      <c r="I59" s="1" t="s">
        <v>655</v>
      </c>
      <c r="J59" s="1" t="s">
        <v>43</v>
      </c>
      <c r="K59" s="1" t="s">
        <v>656</v>
      </c>
      <c r="L59" s="1" t="s">
        <v>657</v>
      </c>
      <c r="M59" s="1" t="s">
        <v>46</v>
      </c>
      <c r="O59" s="1" t="b">
        <v>0</v>
      </c>
      <c r="P59" s="12">
        <v>0.375</v>
      </c>
      <c r="Q59" s="12">
        <v>0.7916666666666666</v>
      </c>
      <c r="R59" s="1" t="s">
        <v>658</v>
      </c>
      <c r="S59" s="1" t="s">
        <v>659</v>
      </c>
      <c r="T59" s="1" t="s">
        <v>51</v>
      </c>
      <c r="U59" s="5">
        <v>46044.73793923611</v>
      </c>
    </row>
    <row r="60" ht="15.75" customHeight="1">
      <c r="A60" s="1" t="s">
        <v>32</v>
      </c>
      <c r="B60" s="1" t="s">
        <v>660</v>
      </c>
      <c r="C60" s="1" t="s">
        <v>661</v>
      </c>
      <c r="D60" s="1" t="s">
        <v>662</v>
      </c>
      <c r="E60" s="1" t="s">
        <v>663</v>
      </c>
      <c r="F60" s="1" t="s">
        <v>39</v>
      </c>
      <c r="G60" s="1" t="s">
        <v>665</v>
      </c>
      <c r="H60" s="1" t="s">
        <v>41</v>
      </c>
      <c r="I60" s="1" t="s">
        <v>667</v>
      </c>
      <c r="J60" s="1" t="s">
        <v>43</v>
      </c>
      <c r="K60" s="1" t="s">
        <v>668</v>
      </c>
      <c r="L60" s="1" t="s">
        <v>669</v>
      </c>
      <c r="M60" s="1" t="s">
        <v>46</v>
      </c>
      <c r="O60" s="1" t="b">
        <v>0</v>
      </c>
      <c r="P60" s="12">
        <v>0.375</v>
      </c>
      <c r="Q60" s="12">
        <v>0.7916666666666666</v>
      </c>
      <c r="R60" s="1" t="s">
        <v>671</v>
      </c>
      <c r="S60" s="1" t="s">
        <v>672</v>
      </c>
      <c r="T60" s="1" t="s">
        <v>51</v>
      </c>
      <c r="U60" s="5">
        <v>46044.73842940972</v>
      </c>
    </row>
    <row r="61" ht="15.75" customHeight="1">
      <c r="A61" s="1" t="s">
        <v>32</v>
      </c>
      <c r="B61" s="1" t="s">
        <v>674</v>
      </c>
      <c r="C61" s="1" t="s">
        <v>675</v>
      </c>
      <c r="D61" s="1" t="s">
        <v>677</v>
      </c>
      <c r="E61" s="1" t="s">
        <v>678</v>
      </c>
      <c r="F61" s="1" t="s">
        <v>39</v>
      </c>
      <c r="G61" s="1" t="s">
        <v>679</v>
      </c>
      <c r="H61" s="1" t="s">
        <v>41</v>
      </c>
      <c r="I61" s="1" t="s">
        <v>680</v>
      </c>
      <c r="J61" s="1" t="s">
        <v>43</v>
      </c>
      <c r="K61" s="1" t="s">
        <v>681</v>
      </c>
      <c r="L61" s="1" t="s">
        <v>682</v>
      </c>
      <c r="M61" s="1" t="s">
        <v>46</v>
      </c>
      <c r="O61" s="1" t="b">
        <v>0</v>
      </c>
      <c r="P61" s="12">
        <v>0.375</v>
      </c>
      <c r="Q61" s="12">
        <v>0.7916666666666666</v>
      </c>
      <c r="R61" s="1" t="s">
        <v>683</v>
      </c>
      <c r="S61" s="1" t="s">
        <v>684</v>
      </c>
      <c r="T61" s="1" t="s">
        <v>51</v>
      </c>
      <c r="U61" s="5">
        <v>46044.73877755787</v>
      </c>
    </row>
    <row r="62" ht="15.75" customHeight="1">
      <c r="A62" s="1" t="s">
        <v>497</v>
      </c>
      <c r="B62" s="1" t="s">
        <v>685</v>
      </c>
      <c r="C62" s="1" t="s">
        <v>686</v>
      </c>
      <c r="D62" s="1" t="s">
        <v>687</v>
      </c>
      <c r="E62" s="1" t="s">
        <v>688</v>
      </c>
      <c r="F62" s="1" t="s">
        <v>39</v>
      </c>
      <c r="G62" s="1" t="s">
        <v>689</v>
      </c>
      <c r="H62" s="1" t="s">
        <v>41</v>
      </c>
      <c r="I62" s="1" t="s">
        <v>690</v>
      </c>
      <c r="J62" s="1" t="s">
        <v>43</v>
      </c>
      <c r="K62" s="1" t="s">
        <v>691</v>
      </c>
      <c r="L62" s="1" t="s">
        <v>693</v>
      </c>
      <c r="M62" s="1" t="s">
        <v>46</v>
      </c>
      <c r="O62" s="1" t="b">
        <v>0</v>
      </c>
      <c r="R62" s="1" t="s">
        <v>695</v>
      </c>
      <c r="S62" s="1" t="s">
        <v>696</v>
      </c>
      <c r="T62" s="1" t="s">
        <v>51</v>
      </c>
      <c r="U62" s="5">
        <v>46044.74005326389</v>
      </c>
    </row>
    <row r="63" ht="15.75" customHeight="1">
      <c r="A63" s="1" t="s">
        <v>32</v>
      </c>
      <c r="B63" s="1" t="s">
        <v>697</v>
      </c>
      <c r="C63" s="1" t="s">
        <v>699</v>
      </c>
      <c r="D63" s="1" t="s">
        <v>700</v>
      </c>
      <c r="E63" s="1" t="s">
        <v>88</v>
      </c>
      <c r="F63" s="1" t="s">
        <v>39</v>
      </c>
      <c r="G63" s="1" t="s">
        <v>702</v>
      </c>
      <c r="H63" s="1" t="s">
        <v>41</v>
      </c>
      <c r="I63" s="1" t="s">
        <v>705</v>
      </c>
      <c r="J63" s="1" t="s">
        <v>43</v>
      </c>
      <c r="K63" s="1" t="s">
        <v>706</v>
      </c>
      <c r="L63" s="1" t="s">
        <v>707</v>
      </c>
      <c r="M63" s="1" t="s">
        <v>46</v>
      </c>
      <c r="O63" s="1" t="b">
        <v>0</v>
      </c>
      <c r="P63" s="12">
        <v>0.375</v>
      </c>
      <c r="Q63" s="12">
        <v>0.7916666666666666</v>
      </c>
      <c r="R63" s="1" t="s">
        <v>708</v>
      </c>
      <c r="S63" s="1" t="s">
        <v>710</v>
      </c>
      <c r="T63" s="1" t="s">
        <v>51</v>
      </c>
      <c r="U63" s="5">
        <v>46044.74033442129</v>
      </c>
    </row>
    <row r="64" ht="15.75" customHeight="1">
      <c r="A64" s="1" t="s">
        <v>32</v>
      </c>
      <c r="B64" s="1" t="s">
        <v>711</v>
      </c>
      <c r="C64" s="1" t="s">
        <v>712</v>
      </c>
      <c r="D64" s="1" t="s">
        <v>713</v>
      </c>
      <c r="E64" s="1" t="s">
        <v>714</v>
      </c>
      <c r="F64" s="1" t="s">
        <v>715</v>
      </c>
      <c r="G64" s="1" t="s">
        <v>40</v>
      </c>
      <c r="H64" s="1" t="s">
        <v>41</v>
      </c>
      <c r="I64" s="1" t="s">
        <v>716</v>
      </c>
      <c r="J64" s="1" t="s">
        <v>43</v>
      </c>
      <c r="K64" s="1" t="s">
        <v>717</v>
      </c>
      <c r="L64" s="1" t="s">
        <v>718</v>
      </c>
      <c r="M64" s="1" t="s">
        <v>46</v>
      </c>
      <c r="O64" s="1" t="b">
        <v>0</v>
      </c>
      <c r="P64" s="12">
        <v>0.4166666666666667</v>
      </c>
      <c r="Q64" s="12">
        <v>0.9166666666666666</v>
      </c>
      <c r="R64" s="1" t="s">
        <v>719</v>
      </c>
      <c r="S64" s="1" t="s">
        <v>720</v>
      </c>
      <c r="T64" s="1" t="s">
        <v>51</v>
      </c>
      <c r="U64" s="5">
        <v>46044.74062850694</v>
      </c>
    </row>
    <row r="65" ht="15.75" customHeight="1">
      <c r="A65" s="1" t="s">
        <v>32</v>
      </c>
      <c r="B65" s="1" t="s">
        <v>721</v>
      </c>
      <c r="C65" s="1" t="s">
        <v>722</v>
      </c>
      <c r="D65" s="1" t="s">
        <v>723</v>
      </c>
      <c r="E65" s="1" t="s">
        <v>725</v>
      </c>
      <c r="F65" s="1" t="s">
        <v>39</v>
      </c>
      <c r="G65" s="1" t="s">
        <v>554</v>
      </c>
      <c r="H65" s="1" t="s">
        <v>41</v>
      </c>
      <c r="I65" s="1" t="s">
        <v>726</v>
      </c>
      <c r="J65" s="1" t="s">
        <v>43</v>
      </c>
      <c r="K65" s="1" t="s">
        <v>727</v>
      </c>
      <c r="L65" s="1" t="s">
        <v>728</v>
      </c>
      <c r="M65" s="1" t="s">
        <v>46</v>
      </c>
      <c r="O65" s="1" t="b">
        <v>0</v>
      </c>
      <c r="P65" s="12">
        <v>0.375</v>
      </c>
      <c r="Q65" s="12">
        <v>0.75</v>
      </c>
      <c r="R65" s="1" t="s">
        <v>729</v>
      </c>
      <c r="S65" s="1" t="s">
        <v>731</v>
      </c>
      <c r="T65" s="1" t="s">
        <v>51</v>
      </c>
      <c r="U65" s="5">
        <v>46045.740625</v>
      </c>
    </row>
    <row r="66" ht="15.75" customHeight="1">
      <c r="A66" s="1" t="s">
        <v>32</v>
      </c>
      <c r="B66" s="1" t="s">
        <v>733</v>
      </c>
      <c r="C66" s="1" t="s">
        <v>730</v>
      </c>
      <c r="D66" s="1" t="s">
        <v>734</v>
      </c>
      <c r="E66" s="1" t="s">
        <v>99</v>
      </c>
      <c r="F66" s="1" t="s">
        <v>546</v>
      </c>
      <c r="G66" s="1" t="s">
        <v>40</v>
      </c>
      <c r="H66" s="1" t="s">
        <v>41</v>
      </c>
      <c r="I66" s="1" t="s">
        <v>736</v>
      </c>
      <c r="J66" s="1" t="s">
        <v>632</v>
      </c>
      <c r="K66" s="1" t="s">
        <v>737</v>
      </c>
      <c r="L66" s="1" t="s">
        <v>738</v>
      </c>
      <c r="M66" s="1" t="s">
        <v>363</v>
      </c>
      <c r="O66" s="1" t="b">
        <v>0</v>
      </c>
      <c r="P66" s="12">
        <v>0.4166666666666667</v>
      </c>
      <c r="Q66" s="12">
        <v>0.9166666666666666</v>
      </c>
      <c r="R66" s="1" t="s">
        <v>739</v>
      </c>
      <c r="S66" s="1" t="s">
        <v>740</v>
      </c>
      <c r="T66" s="1" t="s">
        <v>51</v>
      </c>
      <c r="U66" s="5">
        <v>46106.59261146991</v>
      </c>
    </row>
    <row r="67" ht="15.75" customHeight="1">
      <c r="A67" s="1" t="s">
        <v>32</v>
      </c>
      <c r="B67" s="1" t="s">
        <v>741</v>
      </c>
      <c r="C67" s="1" t="s">
        <v>742</v>
      </c>
      <c r="D67" s="1" t="s">
        <v>743</v>
      </c>
      <c r="E67" s="1" t="s">
        <v>155</v>
      </c>
      <c r="F67" s="1" t="s">
        <v>231</v>
      </c>
      <c r="G67" s="1" t="s">
        <v>40</v>
      </c>
      <c r="H67" s="1" t="s">
        <v>41</v>
      </c>
      <c r="I67" s="1" t="s">
        <v>746</v>
      </c>
      <c r="J67" s="1" t="s">
        <v>632</v>
      </c>
      <c r="K67" s="1" t="s">
        <v>747</v>
      </c>
      <c r="L67" s="1" t="s">
        <v>748</v>
      </c>
      <c r="M67" s="1" t="s">
        <v>363</v>
      </c>
      <c r="O67" s="1" t="b">
        <v>0</v>
      </c>
      <c r="P67" s="12">
        <v>0.4166666666666667</v>
      </c>
      <c r="Q67" s="12">
        <v>0.9166666666666666</v>
      </c>
      <c r="R67" s="1" t="s">
        <v>749</v>
      </c>
      <c r="S67" s="1" t="s">
        <v>750</v>
      </c>
      <c r="T67" s="1" t="s">
        <v>51</v>
      </c>
      <c r="U67" s="5">
        <v>46106.5961671875</v>
      </c>
    </row>
    <row r="68" ht="15.75" customHeight="1">
      <c r="A68" s="1" t="s">
        <v>32</v>
      </c>
      <c r="B68" s="1" t="s">
        <v>751</v>
      </c>
      <c r="C68" s="1" t="s">
        <v>753</v>
      </c>
      <c r="D68" s="1" t="s">
        <v>754</v>
      </c>
      <c r="E68" s="1" t="s">
        <v>755</v>
      </c>
      <c r="F68" s="1" t="s">
        <v>756</v>
      </c>
      <c r="G68" s="1" t="s">
        <v>565</v>
      </c>
      <c r="H68" s="1" t="s">
        <v>41</v>
      </c>
      <c r="I68" s="1" t="s">
        <v>757</v>
      </c>
      <c r="J68" s="1" t="s">
        <v>43</v>
      </c>
      <c r="L68" s="1" t="s">
        <v>759</v>
      </c>
      <c r="M68" s="1" t="s">
        <v>46</v>
      </c>
      <c r="O68" s="1" t="b">
        <v>0</v>
      </c>
      <c r="P68" s="12">
        <v>0.4166666666666667</v>
      </c>
      <c r="Q68" s="12">
        <v>0.9166666666666666</v>
      </c>
      <c r="R68" s="1" t="s">
        <v>760</v>
      </c>
      <c r="S68" s="1" t="s">
        <v>761</v>
      </c>
      <c r="T68" s="1" t="s">
        <v>51</v>
      </c>
      <c r="U68" s="5">
        <v>46106.60785710648</v>
      </c>
    </row>
    <row r="69" ht="15.75" customHeight="1">
      <c r="A69" s="1" t="s">
        <v>32</v>
      </c>
      <c r="B69" s="1" t="s">
        <v>762</v>
      </c>
      <c r="C69" s="1" t="s">
        <v>763</v>
      </c>
      <c r="D69" s="1" t="s">
        <v>764</v>
      </c>
      <c r="E69" s="1" t="s">
        <v>714</v>
      </c>
      <c r="F69" s="1" t="s">
        <v>715</v>
      </c>
      <c r="G69" s="1" t="s">
        <v>40</v>
      </c>
      <c r="H69" s="1" t="s">
        <v>41</v>
      </c>
      <c r="I69" s="1" t="s">
        <v>765</v>
      </c>
      <c r="J69" s="1" t="s">
        <v>632</v>
      </c>
      <c r="K69" s="1" t="s">
        <v>766</v>
      </c>
      <c r="L69" s="1" t="s">
        <v>767</v>
      </c>
      <c r="M69" s="1" t="s">
        <v>363</v>
      </c>
      <c r="O69" s="1" t="b">
        <v>0</v>
      </c>
      <c r="P69" s="12">
        <v>0.4166666666666667</v>
      </c>
      <c r="Q69" s="12">
        <v>0.9166666666666666</v>
      </c>
      <c r="R69" s="1" t="s">
        <v>771</v>
      </c>
      <c r="S69" s="1" t="s">
        <v>772</v>
      </c>
      <c r="T69" s="1" t="s">
        <v>51</v>
      </c>
      <c r="U69" s="5">
        <v>46106.61249667824</v>
      </c>
    </row>
    <row r="70" ht="15.75" customHeight="1">
      <c r="A70" s="1" t="s">
        <v>32</v>
      </c>
      <c r="B70" s="1" t="s">
        <v>774</v>
      </c>
      <c r="C70" s="1" t="s">
        <v>776</v>
      </c>
      <c r="D70" s="1" t="s">
        <v>777</v>
      </c>
      <c r="E70" s="1" t="s">
        <v>778</v>
      </c>
      <c r="F70" s="1" t="s">
        <v>779</v>
      </c>
      <c r="G70" s="1" t="s">
        <v>654</v>
      </c>
      <c r="H70" s="1" t="s">
        <v>41</v>
      </c>
      <c r="I70" s="1" t="s">
        <v>780</v>
      </c>
      <c r="J70" s="1" t="s">
        <v>43</v>
      </c>
      <c r="K70" s="1" t="s">
        <v>781</v>
      </c>
      <c r="L70" s="1" t="s">
        <v>784</v>
      </c>
      <c r="M70" s="1" t="s">
        <v>46</v>
      </c>
      <c r="O70" s="1" t="b">
        <v>0</v>
      </c>
      <c r="P70" s="12">
        <v>0.4166666666666667</v>
      </c>
      <c r="Q70" s="12">
        <v>0.9166666666666666</v>
      </c>
      <c r="R70" s="1" t="s">
        <v>787</v>
      </c>
      <c r="S70" s="1" t="s">
        <v>788</v>
      </c>
      <c r="T70" s="1" t="s">
        <v>51</v>
      </c>
      <c r="U70" s="5">
        <v>46106.6163744213</v>
      </c>
    </row>
    <row r="71" ht="15.75" customHeight="1">
      <c r="A71" s="1" t="s">
        <v>32</v>
      </c>
      <c r="B71" s="1" t="s">
        <v>791</v>
      </c>
      <c r="C71" s="1" t="s">
        <v>792</v>
      </c>
      <c r="D71" s="1" t="s">
        <v>793</v>
      </c>
      <c r="E71" s="1" t="s">
        <v>725</v>
      </c>
      <c r="F71" s="1" t="s">
        <v>794</v>
      </c>
      <c r="G71" s="1" t="s">
        <v>796</v>
      </c>
      <c r="H71" s="1" t="s">
        <v>41</v>
      </c>
      <c r="I71" s="1" t="s">
        <v>797</v>
      </c>
      <c r="J71" s="1" t="s">
        <v>43</v>
      </c>
      <c r="K71" s="1" t="s">
        <v>500</v>
      </c>
      <c r="L71" s="1" t="s">
        <v>799</v>
      </c>
      <c r="M71" s="1" t="s">
        <v>46</v>
      </c>
      <c r="O71" s="1" t="b">
        <v>0</v>
      </c>
      <c r="P71" s="12">
        <v>0.4166666666666667</v>
      </c>
      <c r="Q71" s="12">
        <v>0.9166666666666666</v>
      </c>
      <c r="R71" s="1" t="s">
        <v>802</v>
      </c>
      <c r="S71" s="1" t="s">
        <v>803</v>
      </c>
      <c r="T71" s="1" t="s">
        <v>51</v>
      </c>
      <c r="U71" s="5">
        <v>46106.62084359954</v>
      </c>
    </row>
    <row r="72" ht="15.75" customHeight="1">
      <c r="A72" s="1" t="s">
        <v>32</v>
      </c>
      <c r="B72" s="1" t="s">
        <v>804</v>
      </c>
      <c r="C72" s="1" t="s">
        <v>805</v>
      </c>
      <c r="D72" s="1" t="s">
        <v>806</v>
      </c>
      <c r="E72" s="1" t="s">
        <v>807</v>
      </c>
      <c r="F72" s="1" t="s">
        <v>808</v>
      </c>
      <c r="G72" s="1" t="s">
        <v>40</v>
      </c>
      <c r="H72" s="1" t="s">
        <v>41</v>
      </c>
      <c r="I72" s="1" t="s">
        <v>499</v>
      </c>
      <c r="J72" s="1" t="s">
        <v>43</v>
      </c>
      <c r="K72" s="1" t="s">
        <v>809</v>
      </c>
      <c r="L72" s="1" t="s">
        <v>810</v>
      </c>
      <c r="M72" s="1" t="s">
        <v>46</v>
      </c>
      <c r="O72" s="1" t="b">
        <v>0</v>
      </c>
      <c r="P72" s="12">
        <v>0.375</v>
      </c>
      <c r="Q72" s="12">
        <v>0.7916666666666666</v>
      </c>
      <c r="R72" s="1" t="s">
        <v>811</v>
      </c>
      <c r="S72" s="1" t="s">
        <v>812</v>
      </c>
      <c r="T72" s="1" t="s">
        <v>51</v>
      </c>
      <c r="U72" s="5">
        <v>46106.6242171412</v>
      </c>
    </row>
    <row r="73" ht="15.75" customHeight="1">
      <c r="A73" s="1" t="s">
        <v>32</v>
      </c>
      <c r="B73" s="1" t="s">
        <v>814</v>
      </c>
      <c r="C73" s="1" t="s">
        <v>815</v>
      </c>
      <c r="D73" s="1" t="s">
        <v>817</v>
      </c>
      <c r="E73" s="1" t="s">
        <v>818</v>
      </c>
      <c r="F73" s="1" t="s">
        <v>819</v>
      </c>
      <c r="G73" s="1" t="s">
        <v>820</v>
      </c>
      <c r="H73" s="1" t="s">
        <v>41</v>
      </c>
      <c r="I73" s="1" t="s">
        <v>821</v>
      </c>
      <c r="J73" s="1" t="s">
        <v>43</v>
      </c>
      <c r="L73" s="1" t="s">
        <v>822</v>
      </c>
      <c r="M73" s="1" t="s">
        <v>46</v>
      </c>
      <c r="O73" s="1" t="b">
        <v>0</v>
      </c>
      <c r="P73" s="12">
        <v>0.4166666666666667</v>
      </c>
      <c r="Q73" s="12">
        <v>0.9166666666666666</v>
      </c>
      <c r="R73" s="1" t="s">
        <v>823</v>
      </c>
      <c r="S73" s="1" t="s">
        <v>824</v>
      </c>
      <c r="T73" s="1" t="s">
        <v>51</v>
      </c>
      <c r="U73" s="5">
        <v>46108.43032204861</v>
      </c>
    </row>
    <row r="74" ht="15.75" customHeight="1">
      <c r="A74" s="1" t="s">
        <v>32</v>
      </c>
      <c r="B74" s="1" t="s">
        <v>825</v>
      </c>
      <c r="C74" s="1" t="s">
        <v>826</v>
      </c>
      <c r="D74" s="1" t="s">
        <v>827</v>
      </c>
      <c r="E74" s="1" t="s">
        <v>829</v>
      </c>
      <c r="F74" s="1" t="s">
        <v>831</v>
      </c>
      <c r="G74" s="1" t="s">
        <v>554</v>
      </c>
      <c r="H74" s="1" t="s">
        <v>41</v>
      </c>
      <c r="I74" s="1" t="s">
        <v>832</v>
      </c>
      <c r="J74" s="1" t="s">
        <v>43</v>
      </c>
      <c r="L74" s="1" t="s">
        <v>833</v>
      </c>
      <c r="M74" s="1" t="s">
        <v>46</v>
      </c>
      <c r="O74" s="1" t="b">
        <v>0</v>
      </c>
      <c r="P74" s="12">
        <v>0.4166666666666667</v>
      </c>
      <c r="Q74" s="12">
        <v>0.9166666666666666</v>
      </c>
      <c r="R74" s="1" t="s">
        <v>835</v>
      </c>
      <c r="S74" s="1" t="s">
        <v>836</v>
      </c>
      <c r="T74" s="1" t="s">
        <v>51</v>
      </c>
      <c r="U74" s="5">
        <v>46108.43361034722</v>
      </c>
    </row>
    <row r="75" ht="15.75" customHeight="1">
      <c r="A75" s="1" t="s">
        <v>32</v>
      </c>
      <c r="B75" s="1" t="s">
        <v>838</v>
      </c>
      <c r="C75" s="1" t="s">
        <v>840</v>
      </c>
      <c r="D75" s="1" t="s">
        <v>841</v>
      </c>
      <c r="E75" s="1" t="s">
        <v>842</v>
      </c>
      <c r="F75" s="1" t="s">
        <v>39</v>
      </c>
      <c r="G75" s="1" t="s">
        <v>843</v>
      </c>
      <c r="H75" s="1" t="s">
        <v>41</v>
      </c>
      <c r="I75" s="1" t="s">
        <v>844</v>
      </c>
      <c r="J75" s="1" t="s">
        <v>43</v>
      </c>
      <c r="K75" s="1" t="s">
        <v>845</v>
      </c>
      <c r="L75" s="1" t="s">
        <v>846</v>
      </c>
      <c r="M75" s="1" t="s">
        <v>46</v>
      </c>
      <c r="O75" s="1" t="b">
        <v>0</v>
      </c>
      <c r="P75" s="12">
        <v>0.375</v>
      </c>
      <c r="Q75" s="12">
        <v>0.7916666666666666</v>
      </c>
      <c r="R75" s="1" t="s">
        <v>848</v>
      </c>
      <c r="S75" s="1" t="s">
        <v>849</v>
      </c>
      <c r="T75" s="1" t="s">
        <v>51</v>
      </c>
      <c r="U75" s="5">
        <v>46044.64955640047</v>
      </c>
    </row>
    <row r="76" ht="15.75" customHeight="1">
      <c r="A76" s="1" t="s">
        <v>32</v>
      </c>
      <c r="B76" s="1" t="s">
        <v>850</v>
      </c>
      <c r="C76" s="1" t="s">
        <v>851</v>
      </c>
      <c r="D76" s="1" t="s">
        <v>852</v>
      </c>
      <c r="E76" s="1" t="s">
        <v>854</v>
      </c>
      <c r="F76" s="1" t="s">
        <v>39</v>
      </c>
      <c r="G76" s="1" t="s">
        <v>856</v>
      </c>
      <c r="H76" s="1" t="s">
        <v>181</v>
      </c>
      <c r="I76" s="1" t="s">
        <v>858</v>
      </c>
      <c r="J76" s="1" t="s">
        <v>43</v>
      </c>
      <c r="K76" s="1" t="s">
        <v>859</v>
      </c>
      <c r="L76" s="1" t="s">
        <v>860</v>
      </c>
      <c r="M76" s="1" t="s">
        <v>46</v>
      </c>
      <c r="O76" s="1" t="b">
        <v>0</v>
      </c>
      <c r="P76" s="12">
        <v>0.375</v>
      </c>
      <c r="Q76" s="12">
        <v>0.7916666666666666</v>
      </c>
      <c r="R76" s="1" t="s">
        <v>861</v>
      </c>
      <c r="S76" s="1" t="s">
        <v>862</v>
      </c>
      <c r="T76" s="1" t="s">
        <v>51</v>
      </c>
      <c r="U76" s="5">
        <v>46044.6289769213</v>
      </c>
    </row>
    <row r="77" ht="15.75" customHeight="1">
      <c r="A77" s="1" t="s">
        <v>32</v>
      </c>
      <c r="B77" s="1" t="s">
        <v>864</v>
      </c>
      <c r="C77" s="1" t="s">
        <v>865</v>
      </c>
      <c r="D77" s="1" t="s">
        <v>867</v>
      </c>
      <c r="E77" s="1" t="s">
        <v>868</v>
      </c>
      <c r="F77" s="1" t="s">
        <v>39</v>
      </c>
      <c r="G77" s="1" t="s">
        <v>869</v>
      </c>
      <c r="H77" s="1" t="s">
        <v>181</v>
      </c>
      <c r="I77" s="1" t="s">
        <v>870</v>
      </c>
      <c r="J77" s="1" t="s">
        <v>43</v>
      </c>
      <c r="K77" s="1" t="s">
        <v>871</v>
      </c>
      <c r="L77" s="1" t="s">
        <v>872</v>
      </c>
      <c r="M77" s="1" t="s">
        <v>46</v>
      </c>
      <c r="O77" s="1" t="b">
        <v>0</v>
      </c>
      <c r="P77" s="12">
        <v>0.375</v>
      </c>
      <c r="Q77" s="12">
        <v>0.75</v>
      </c>
      <c r="R77" s="1" t="s">
        <v>873</v>
      </c>
      <c r="S77" s="1" t="s">
        <v>874</v>
      </c>
      <c r="T77" s="1" t="s">
        <v>51</v>
      </c>
      <c r="U77" s="5">
        <v>46044.6123746412</v>
      </c>
    </row>
    <row r="78" ht="15.75" customHeight="1">
      <c r="A78" s="1" t="s">
        <v>32</v>
      </c>
      <c r="B78" s="1" t="s">
        <v>875</v>
      </c>
      <c r="C78" s="1" t="s">
        <v>438</v>
      </c>
      <c r="D78" s="1" t="s">
        <v>439</v>
      </c>
      <c r="E78" s="1" t="s">
        <v>876</v>
      </c>
      <c r="F78" s="1" t="s">
        <v>39</v>
      </c>
      <c r="G78" s="1" t="s">
        <v>127</v>
      </c>
      <c r="H78" s="1" t="s">
        <v>41</v>
      </c>
      <c r="I78" s="1" t="s">
        <v>878</v>
      </c>
      <c r="J78" s="1" t="s">
        <v>43</v>
      </c>
      <c r="K78" s="1" t="s">
        <v>880</v>
      </c>
      <c r="L78" s="1" t="s">
        <v>881</v>
      </c>
      <c r="M78" s="1" t="s">
        <v>46</v>
      </c>
      <c r="O78" s="1" t="b">
        <v>0</v>
      </c>
      <c r="P78" s="12">
        <v>0.375</v>
      </c>
      <c r="Q78" s="12">
        <v>0.75</v>
      </c>
      <c r="R78" s="1" t="s">
        <v>883</v>
      </c>
      <c r="S78" s="1" t="s">
        <v>885</v>
      </c>
      <c r="T78" s="1" t="s">
        <v>51</v>
      </c>
      <c r="U78" s="5">
        <v>46044.48653712963</v>
      </c>
    </row>
    <row r="79" ht="15.75" customHeight="1">
      <c r="A79" s="1" t="s">
        <v>32</v>
      </c>
      <c r="B79" s="1" t="s">
        <v>887</v>
      </c>
      <c r="C79" s="1" t="s">
        <v>888</v>
      </c>
      <c r="D79" s="1" t="s">
        <v>889</v>
      </c>
      <c r="E79" s="1" t="s">
        <v>890</v>
      </c>
      <c r="F79" s="1" t="s">
        <v>891</v>
      </c>
      <c r="G79" s="1" t="s">
        <v>892</v>
      </c>
      <c r="H79" s="1" t="s">
        <v>41</v>
      </c>
      <c r="I79" s="1" t="s">
        <v>893</v>
      </c>
      <c r="J79" s="1" t="s">
        <v>43</v>
      </c>
      <c r="K79" s="1" t="s">
        <v>894</v>
      </c>
      <c r="L79" s="1" t="s">
        <v>895</v>
      </c>
      <c r="M79" s="1" t="s">
        <v>46</v>
      </c>
      <c r="O79" s="1" t="b">
        <v>0</v>
      </c>
      <c r="P79" s="12">
        <v>0.375</v>
      </c>
      <c r="Q79" s="12">
        <v>0.75</v>
      </c>
      <c r="R79" s="1" t="s">
        <v>896</v>
      </c>
      <c r="S79" s="1" t="s">
        <v>897</v>
      </c>
      <c r="T79" s="1" t="s">
        <v>51</v>
      </c>
      <c r="U79" s="5">
        <v>46044.4618050463</v>
      </c>
    </row>
    <row r="80" ht="15.75" customHeight="1">
      <c r="A80" s="1" t="s">
        <v>32</v>
      </c>
      <c r="B80" s="1" t="s">
        <v>898</v>
      </c>
      <c r="C80" s="1" t="s">
        <v>675</v>
      </c>
      <c r="D80" s="1" t="s">
        <v>677</v>
      </c>
      <c r="E80" s="1" t="s">
        <v>899</v>
      </c>
      <c r="F80" s="1" t="s">
        <v>39</v>
      </c>
      <c r="G80" s="1" t="s">
        <v>679</v>
      </c>
      <c r="H80" s="1" t="s">
        <v>41</v>
      </c>
      <c r="I80" s="1" t="s">
        <v>903</v>
      </c>
      <c r="J80" s="1" t="s">
        <v>43</v>
      </c>
      <c r="K80" s="1" t="s">
        <v>904</v>
      </c>
      <c r="L80" s="1" t="s">
        <v>906</v>
      </c>
      <c r="M80" s="1" t="s">
        <v>46</v>
      </c>
      <c r="O80" s="1" t="b">
        <v>0</v>
      </c>
      <c r="P80" s="12">
        <v>0.375</v>
      </c>
      <c r="Q80" s="12">
        <v>0.75</v>
      </c>
      <c r="R80" s="1" t="s">
        <v>907</v>
      </c>
      <c r="S80" s="1" t="s">
        <v>908</v>
      </c>
      <c r="T80" s="1" t="s">
        <v>51</v>
      </c>
      <c r="U80" s="5">
        <v>46044.4607453588</v>
      </c>
    </row>
    <row r="81" ht="15.75" customHeight="1">
      <c r="A81" s="1" t="s">
        <v>32</v>
      </c>
      <c r="B81" s="1" t="s">
        <v>909</v>
      </c>
      <c r="C81" s="1" t="s">
        <v>910</v>
      </c>
      <c r="D81" s="1" t="s">
        <v>912</v>
      </c>
      <c r="E81" s="1" t="s">
        <v>913</v>
      </c>
      <c r="F81" s="1" t="s">
        <v>39</v>
      </c>
      <c r="G81" s="1" t="s">
        <v>914</v>
      </c>
      <c r="H81" s="1" t="s">
        <v>41</v>
      </c>
      <c r="I81" s="1" t="s">
        <v>916</v>
      </c>
      <c r="J81" s="1" t="s">
        <v>43</v>
      </c>
      <c r="K81" s="1" t="s">
        <v>917</v>
      </c>
      <c r="L81" s="1" t="s">
        <v>918</v>
      </c>
      <c r="M81" s="1" t="s">
        <v>46</v>
      </c>
      <c r="O81" s="1" t="b">
        <v>0</v>
      </c>
      <c r="P81" s="12">
        <v>0.375</v>
      </c>
      <c r="Q81" s="12">
        <v>0.75</v>
      </c>
      <c r="R81" s="1" t="s">
        <v>919</v>
      </c>
      <c r="S81" s="1" t="s">
        <v>920</v>
      </c>
      <c r="T81" s="1" t="s">
        <v>51</v>
      </c>
      <c r="U81" s="5">
        <v>46044.69788710648</v>
      </c>
    </row>
    <row r="82" ht="15.75" customHeight="1">
      <c r="A82" s="1" t="s">
        <v>32</v>
      </c>
      <c r="B82" s="1" t="s">
        <v>921</v>
      </c>
      <c r="C82" s="1" t="s">
        <v>922</v>
      </c>
      <c r="D82" s="1" t="s">
        <v>923</v>
      </c>
      <c r="E82" s="1" t="s">
        <v>924</v>
      </c>
      <c r="F82" s="1" t="s">
        <v>39</v>
      </c>
      <c r="G82" s="1" t="s">
        <v>926</v>
      </c>
      <c r="H82" s="1" t="s">
        <v>181</v>
      </c>
      <c r="I82" s="1" t="s">
        <v>927</v>
      </c>
      <c r="J82" s="1" t="s">
        <v>43</v>
      </c>
      <c r="K82" s="1" t="s">
        <v>928</v>
      </c>
      <c r="L82" s="1" t="s">
        <v>929</v>
      </c>
      <c r="M82" s="1" t="s">
        <v>46</v>
      </c>
      <c r="O82" s="1" t="b">
        <v>0</v>
      </c>
      <c r="P82" s="12">
        <v>0.375</v>
      </c>
      <c r="Q82" s="12">
        <v>0.75</v>
      </c>
      <c r="R82" s="1" t="s">
        <v>930</v>
      </c>
      <c r="S82" s="1" t="s">
        <v>931</v>
      </c>
      <c r="T82" s="1" t="s">
        <v>51</v>
      </c>
      <c r="U82" s="5">
        <v>46045.62038890046</v>
      </c>
    </row>
    <row r="83" ht="15.75" customHeight="1">
      <c r="A83" s="1" t="s">
        <v>32</v>
      </c>
      <c r="B83" s="1" t="s">
        <v>932</v>
      </c>
      <c r="C83" s="1" t="s">
        <v>933</v>
      </c>
      <c r="D83" s="1" t="s">
        <v>934</v>
      </c>
      <c r="E83" s="1" t="s">
        <v>924</v>
      </c>
      <c r="F83" s="1" t="s">
        <v>39</v>
      </c>
      <c r="G83" s="1" t="s">
        <v>935</v>
      </c>
      <c r="H83" s="1" t="s">
        <v>41</v>
      </c>
      <c r="I83" s="1" t="s">
        <v>936</v>
      </c>
      <c r="J83" s="1" t="s">
        <v>43</v>
      </c>
      <c r="K83" s="1" t="s">
        <v>938</v>
      </c>
      <c r="L83" s="1" t="s">
        <v>939</v>
      </c>
      <c r="M83" s="1" t="s">
        <v>46</v>
      </c>
      <c r="O83" s="1" t="b">
        <v>0</v>
      </c>
      <c r="P83" s="12">
        <v>0.375</v>
      </c>
      <c r="Q83" s="12">
        <v>0.75</v>
      </c>
      <c r="R83" s="1" t="s">
        <v>944</v>
      </c>
      <c r="S83" s="1" t="s">
        <v>946</v>
      </c>
      <c r="T83" s="1" t="s">
        <v>51</v>
      </c>
      <c r="U83" s="5">
        <v>46045.62068699074</v>
      </c>
    </row>
    <row r="84" ht="15.75" customHeight="1">
      <c r="A84" s="1" t="s">
        <v>32</v>
      </c>
      <c r="B84" s="1" t="s">
        <v>952</v>
      </c>
      <c r="C84" s="1" t="s">
        <v>955</v>
      </c>
      <c r="D84" s="1" t="s">
        <v>957</v>
      </c>
      <c r="E84" s="1" t="s">
        <v>958</v>
      </c>
      <c r="F84" s="1" t="s">
        <v>39</v>
      </c>
      <c r="G84" s="1" t="s">
        <v>961</v>
      </c>
      <c r="H84" s="1" t="s">
        <v>41</v>
      </c>
      <c r="I84" s="1" t="s">
        <v>964</v>
      </c>
      <c r="J84" s="1" t="s">
        <v>43</v>
      </c>
      <c r="K84" s="1" t="s">
        <v>967</v>
      </c>
      <c r="L84" s="1" t="s">
        <v>969</v>
      </c>
      <c r="M84" s="1" t="s">
        <v>46</v>
      </c>
      <c r="O84" s="1" t="b">
        <v>0</v>
      </c>
      <c r="P84" s="12">
        <v>0.375</v>
      </c>
      <c r="Q84" s="12">
        <v>0.75</v>
      </c>
      <c r="R84" s="1" t="s">
        <v>974</v>
      </c>
      <c r="S84" s="1" t="s">
        <v>976</v>
      </c>
      <c r="T84" s="1" t="s">
        <v>51</v>
      </c>
      <c r="U84" s="5">
        <v>46045.62099145833</v>
      </c>
    </row>
    <row r="85" ht="15.75" customHeight="1">
      <c r="A85" s="1" t="s">
        <v>32</v>
      </c>
      <c r="B85" s="1" t="s">
        <v>979</v>
      </c>
      <c r="C85" s="1" t="s">
        <v>980</v>
      </c>
      <c r="D85" s="1" t="s">
        <v>981</v>
      </c>
      <c r="E85" s="1" t="s">
        <v>982</v>
      </c>
      <c r="F85" s="1" t="s">
        <v>983</v>
      </c>
      <c r="G85" s="1" t="s">
        <v>985</v>
      </c>
      <c r="H85" s="1" t="s">
        <v>41</v>
      </c>
      <c r="I85" s="1" t="s">
        <v>987</v>
      </c>
      <c r="J85" s="1" t="s">
        <v>43</v>
      </c>
      <c r="K85" s="1" t="s">
        <v>989</v>
      </c>
      <c r="L85" s="1" t="s">
        <v>991</v>
      </c>
      <c r="M85" s="1" t="s">
        <v>46</v>
      </c>
      <c r="O85" s="1" t="b">
        <v>0</v>
      </c>
      <c r="P85" s="12">
        <v>0.375</v>
      </c>
      <c r="Q85" s="12">
        <v>0.75</v>
      </c>
      <c r="R85" s="1" t="s">
        <v>993</v>
      </c>
      <c r="S85" s="1" t="s">
        <v>995</v>
      </c>
      <c r="T85" s="1" t="s">
        <v>51</v>
      </c>
      <c r="U85" s="5">
        <v>46045.6220503125</v>
      </c>
    </row>
    <row r="86" ht="15.75" customHeight="1">
      <c r="A86" s="1" t="s">
        <v>32</v>
      </c>
      <c r="B86" s="1" t="s">
        <v>996</v>
      </c>
      <c r="C86" s="1" t="s">
        <v>997</v>
      </c>
      <c r="D86" s="1" t="s">
        <v>723</v>
      </c>
      <c r="E86" s="1" t="s">
        <v>999</v>
      </c>
      <c r="F86" s="1" t="s">
        <v>39</v>
      </c>
      <c r="G86" s="1" t="s">
        <v>554</v>
      </c>
      <c r="H86" s="1" t="s">
        <v>41</v>
      </c>
      <c r="I86" s="1" t="s">
        <v>1000</v>
      </c>
      <c r="J86" s="1" t="s">
        <v>43</v>
      </c>
      <c r="K86" s="1" t="s">
        <v>1002</v>
      </c>
      <c r="L86" s="1" t="s">
        <v>1003</v>
      </c>
      <c r="M86" s="1" t="s">
        <v>46</v>
      </c>
      <c r="O86" s="1" t="b">
        <v>0</v>
      </c>
      <c r="P86" s="12">
        <v>0.375</v>
      </c>
      <c r="Q86" s="12">
        <v>0.75</v>
      </c>
      <c r="R86" s="1" t="s">
        <v>1005</v>
      </c>
      <c r="S86" s="1" t="s">
        <v>1006</v>
      </c>
      <c r="T86" s="1" t="s">
        <v>51</v>
      </c>
      <c r="U86" s="5">
        <v>46052.63568657407</v>
      </c>
    </row>
    <row r="87" ht="15.75" customHeight="1">
      <c r="A87" s="1" t="s">
        <v>32</v>
      </c>
      <c r="B87" s="1" t="s">
        <v>1007</v>
      </c>
      <c r="C87" s="1" t="s">
        <v>1008</v>
      </c>
      <c r="D87" s="1" t="s">
        <v>1009</v>
      </c>
      <c r="E87" s="1" t="s">
        <v>1010</v>
      </c>
      <c r="F87" s="1" t="s">
        <v>39</v>
      </c>
      <c r="G87" s="1" t="s">
        <v>1011</v>
      </c>
      <c r="H87" s="1" t="s">
        <v>41</v>
      </c>
      <c r="I87" s="1" t="s">
        <v>1012</v>
      </c>
      <c r="J87" s="1" t="s">
        <v>43</v>
      </c>
      <c r="K87" s="1" t="s">
        <v>1014</v>
      </c>
      <c r="L87" s="1" t="s">
        <v>1016</v>
      </c>
      <c r="M87" s="1" t="s">
        <v>46</v>
      </c>
      <c r="O87" s="1" t="b">
        <v>0</v>
      </c>
      <c r="P87" s="12">
        <v>0.375</v>
      </c>
      <c r="Q87" s="12">
        <v>0.75</v>
      </c>
      <c r="R87" s="1" t="s">
        <v>1019</v>
      </c>
      <c r="S87" s="1" t="s">
        <v>1022</v>
      </c>
      <c r="T87" s="1" t="s">
        <v>51</v>
      </c>
      <c r="U87" s="5">
        <v>46052.63601081019</v>
      </c>
    </row>
    <row r="88" ht="15.75" customHeight="1">
      <c r="A88" s="1" t="s">
        <v>32</v>
      </c>
      <c r="B88" s="1" t="s">
        <v>1025</v>
      </c>
      <c r="C88" s="1" t="s">
        <v>1026</v>
      </c>
      <c r="D88" s="1" t="s">
        <v>1028</v>
      </c>
      <c r="E88" s="1" t="s">
        <v>1029</v>
      </c>
      <c r="F88" s="1" t="s">
        <v>39</v>
      </c>
      <c r="G88" s="1" t="s">
        <v>1030</v>
      </c>
      <c r="H88" s="1" t="s">
        <v>41</v>
      </c>
      <c r="I88" s="1" t="s">
        <v>1031</v>
      </c>
      <c r="J88" s="1" t="s">
        <v>43</v>
      </c>
      <c r="K88" s="1" t="s">
        <v>1032</v>
      </c>
      <c r="L88" s="1" t="s">
        <v>1033</v>
      </c>
      <c r="M88" s="1" t="s">
        <v>46</v>
      </c>
      <c r="O88" s="1" t="b">
        <v>0</v>
      </c>
      <c r="P88" s="12">
        <v>0.375</v>
      </c>
      <c r="Q88" s="12">
        <v>0.75</v>
      </c>
      <c r="R88" s="1" t="s">
        <v>1034</v>
      </c>
      <c r="S88" s="1" t="s">
        <v>1035</v>
      </c>
      <c r="T88" s="1" t="s">
        <v>51</v>
      </c>
      <c r="U88" s="5">
        <v>46053.63600694444</v>
      </c>
    </row>
    <row r="89" ht="15.75" customHeight="1">
      <c r="A89" s="1" t="s">
        <v>32</v>
      </c>
      <c r="B89" s="1" t="s">
        <v>1036</v>
      </c>
      <c r="C89" s="1" t="s">
        <v>1037</v>
      </c>
      <c r="D89" s="1" t="s">
        <v>1038</v>
      </c>
      <c r="E89" s="1" t="s">
        <v>1039</v>
      </c>
      <c r="F89" s="1" t="s">
        <v>39</v>
      </c>
      <c r="G89" s="1" t="s">
        <v>1040</v>
      </c>
      <c r="H89" s="1" t="s">
        <v>41</v>
      </c>
      <c r="I89" s="1" t="s">
        <v>1041</v>
      </c>
      <c r="J89" s="1" t="s">
        <v>43</v>
      </c>
      <c r="K89" s="1" t="s">
        <v>1042</v>
      </c>
      <c r="L89" s="1" t="s">
        <v>1043</v>
      </c>
      <c r="M89" s="1" t="s">
        <v>46</v>
      </c>
      <c r="O89" s="1" t="b">
        <v>0</v>
      </c>
      <c r="P89" s="12">
        <v>0.375</v>
      </c>
      <c r="Q89" s="12">
        <v>0.75</v>
      </c>
      <c r="R89" s="1" t="s">
        <v>1045</v>
      </c>
      <c r="S89" s="1" t="s">
        <v>1046</v>
      </c>
      <c r="T89" s="1" t="s">
        <v>51</v>
      </c>
      <c r="U89" s="5">
        <v>46106.65889170139</v>
      </c>
    </row>
    <row r="90" ht="15.75" customHeight="1">
      <c r="A90" s="1" t="s">
        <v>32</v>
      </c>
      <c r="B90" s="1" t="s">
        <v>1048</v>
      </c>
      <c r="C90" s="1" t="s">
        <v>1049</v>
      </c>
      <c r="D90" s="1" t="s">
        <v>37</v>
      </c>
      <c r="E90" s="1" t="s">
        <v>1050</v>
      </c>
      <c r="F90" s="1" t="s">
        <v>39</v>
      </c>
      <c r="G90" s="1" t="s">
        <v>1053</v>
      </c>
      <c r="H90" s="1" t="s">
        <v>41</v>
      </c>
      <c r="I90" s="1" t="s">
        <v>1054</v>
      </c>
      <c r="J90" s="1" t="s">
        <v>43</v>
      </c>
      <c r="K90" s="1" t="s">
        <v>1056</v>
      </c>
      <c r="L90" s="1" t="s">
        <v>1057</v>
      </c>
      <c r="M90" s="1" t="s">
        <v>46</v>
      </c>
      <c r="O90" s="1" t="b">
        <v>0</v>
      </c>
      <c r="P90" s="12">
        <v>0.375</v>
      </c>
      <c r="Q90" s="12">
        <v>0.75</v>
      </c>
      <c r="R90" s="1" t="s">
        <v>1059</v>
      </c>
      <c r="S90" s="1" t="s">
        <v>1060</v>
      </c>
      <c r="T90" s="1" t="s">
        <v>51</v>
      </c>
      <c r="U90" s="5">
        <v>46063.69687630787</v>
      </c>
    </row>
    <row r="91" ht="15.75" customHeight="1">
      <c r="A91" s="1" t="s">
        <v>32</v>
      </c>
      <c r="B91" s="1" t="s">
        <v>1061</v>
      </c>
      <c r="C91" s="1" t="s">
        <v>262</v>
      </c>
      <c r="D91" s="1" t="s">
        <v>263</v>
      </c>
      <c r="E91" s="1" t="s">
        <v>264</v>
      </c>
      <c r="F91" s="1" t="s">
        <v>1063</v>
      </c>
      <c r="G91" s="1" t="s">
        <v>266</v>
      </c>
      <c r="H91" s="1" t="s">
        <v>41</v>
      </c>
      <c r="I91" s="1" t="s">
        <v>1064</v>
      </c>
      <c r="J91" s="1" t="s">
        <v>1065</v>
      </c>
      <c r="K91" s="1" t="s">
        <v>1066</v>
      </c>
      <c r="L91" s="1" t="s">
        <v>1067</v>
      </c>
      <c r="M91" s="1" t="s">
        <v>46</v>
      </c>
      <c r="O91" s="1" t="b">
        <v>0</v>
      </c>
      <c r="P91" s="12">
        <v>0.4166666666666667</v>
      </c>
      <c r="Q91" s="12">
        <v>0.9166666666666666</v>
      </c>
      <c r="R91" s="1" t="s">
        <v>1068</v>
      </c>
      <c r="S91" s="1" t="s">
        <v>1069</v>
      </c>
      <c r="T91" s="1" t="s">
        <v>51</v>
      </c>
      <c r="U91" s="5">
        <v>46063.69732864583</v>
      </c>
    </row>
    <row r="92" ht="15.75" customHeight="1">
      <c r="A92" s="1" t="s">
        <v>32</v>
      </c>
      <c r="B92" s="1" t="s">
        <v>1070</v>
      </c>
      <c r="C92" s="1" t="s">
        <v>1071</v>
      </c>
      <c r="D92" s="1" t="s">
        <v>1073</v>
      </c>
      <c r="E92" s="1" t="s">
        <v>1050</v>
      </c>
      <c r="F92" s="1" t="s">
        <v>1074</v>
      </c>
      <c r="G92" s="1" t="s">
        <v>1075</v>
      </c>
      <c r="H92" s="1" t="s">
        <v>209</v>
      </c>
      <c r="I92" s="1" t="s">
        <v>1076</v>
      </c>
      <c r="J92" s="1" t="s">
        <v>43</v>
      </c>
      <c r="K92" s="1" t="s">
        <v>1077</v>
      </c>
      <c r="L92" s="1" t="s">
        <v>1078</v>
      </c>
      <c r="M92" s="1" t="s">
        <v>46</v>
      </c>
      <c r="O92" s="1" t="b">
        <v>0</v>
      </c>
      <c r="P92" s="12">
        <v>0.375</v>
      </c>
      <c r="Q92" s="12">
        <v>0.7916666666666666</v>
      </c>
      <c r="R92" s="1" t="s">
        <v>1079</v>
      </c>
      <c r="S92" s="1" t="s">
        <v>1080</v>
      </c>
      <c r="T92" s="1" t="s">
        <v>51</v>
      </c>
      <c r="U92" s="5">
        <v>46106.66378634259</v>
      </c>
    </row>
    <row r="93" ht="15.75" customHeight="1">
      <c r="A93" s="1" t="s">
        <v>32</v>
      </c>
      <c r="B93" s="1" t="s">
        <v>1082</v>
      </c>
      <c r="C93" s="1" t="s">
        <v>35</v>
      </c>
      <c r="D93" s="1" t="s">
        <v>37</v>
      </c>
      <c r="E93" s="1" t="s">
        <v>1083</v>
      </c>
      <c r="F93" s="1" t="s">
        <v>39</v>
      </c>
      <c r="G93" s="1" t="s">
        <v>40</v>
      </c>
      <c r="H93" s="1" t="s">
        <v>41</v>
      </c>
      <c r="I93" s="1" t="s">
        <v>1084</v>
      </c>
      <c r="J93" s="1" t="s">
        <v>43</v>
      </c>
      <c r="K93" s="1" t="s">
        <v>1085</v>
      </c>
      <c r="L93" s="1" t="s">
        <v>1086</v>
      </c>
      <c r="M93" s="1" t="s">
        <v>46</v>
      </c>
      <c r="O93" s="1" t="b">
        <v>0</v>
      </c>
      <c r="P93" s="12">
        <v>0.375</v>
      </c>
      <c r="Q93" s="12">
        <v>0.75</v>
      </c>
      <c r="R93" s="1" t="s">
        <v>1088</v>
      </c>
      <c r="S93" s="1" t="s">
        <v>1090</v>
      </c>
      <c r="T93" s="1" t="s">
        <v>51</v>
      </c>
      <c r="U93" s="5">
        <v>46063.69787378472</v>
      </c>
    </row>
    <row r="94" ht="15.75" customHeight="1">
      <c r="A94" s="1" t="s">
        <v>32</v>
      </c>
      <c r="B94" s="1" t="s">
        <v>1092</v>
      </c>
      <c r="C94" s="1" t="s">
        <v>35</v>
      </c>
      <c r="D94" s="1" t="s">
        <v>37</v>
      </c>
      <c r="E94" s="1" t="s">
        <v>1094</v>
      </c>
      <c r="F94" s="1" t="s">
        <v>39</v>
      </c>
      <c r="G94" s="1" t="s">
        <v>40</v>
      </c>
      <c r="H94" s="1" t="s">
        <v>41</v>
      </c>
      <c r="I94" s="1" t="s">
        <v>1095</v>
      </c>
      <c r="J94" s="1" t="s">
        <v>1065</v>
      </c>
      <c r="K94" s="1" t="s">
        <v>1096</v>
      </c>
      <c r="L94" s="1" t="s">
        <v>1097</v>
      </c>
      <c r="M94" s="1" t="s">
        <v>46</v>
      </c>
      <c r="O94" s="1" t="b">
        <v>0</v>
      </c>
      <c r="P94" s="12">
        <v>0.375</v>
      </c>
      <c r="Q94" s="12">
        <v>0.75</v>
      </c>
      <c r="R94" s="1" t="s">
        <v>1098</v>
      </c>
      <c r="S94" s="1" t="s">
        <v>1099</v>
      </c>
      <c r="T94" s="1" t="s">
        <v>51</v>
      </c>
      <c r="U94" s="5">
        <v>46063.69820356482</v>
      </c>
    </row>
    <row r="95" ht="15.75" customHeight="1">
      <c r="A95" s="1" t="s">
        <v>32</v>
      </c>
      <c r="B95" s="1" t="s">
        <v>1101</v>
      </c>
      <c r="C95" s="1" t="s">
        <v>1102</v>
      </c>
      <c r="D95" s="1" t="s">
        <v>1103</v>
      </c>
      <c r="E95" s="1" t="s">
        <v>1104</v>
      </c>
      <c r="F95" s="1" t="s">
        <v>39</v>
      </c>
      <c r="G95" s="1" t="s">
        <v>221</v>
      </c>
      <c r="H95" s="1" t="s">
        <v>41</v>
      </c>
      <c r="I95" s="1" t="s">
        <v>1105</v>
      </c>
      <c r="J95" s="1" t="s">
        <v>1065</v>
      </c>
      <c r="K95" s="1" t="s">
        <v>1106</v>
      </c>
      <c r="L95" s="1" t="s">
        <v>1107</v>
      </c>
      <c r="M95" s="1" t="s">
        <v>46</v>
      </c>
      <c r="O95" s="1" t="b">
        <v>0</v>
      </c>
      <c r="P95" s="12">
        <v>0.375</v>
      </c>
      <c r="Q95" s="12">
        <v>0.75</v>
      </c>
      <c r="R95" s="1" t="s">
        <v>1108</v>
      </c>
      <c r="S95" s="1" t="s">
        <v>1109</v>
      </c>
      <c r="T95" s="1" t="s">
        <v>51</v>
      </c>
      <c r="U95" s="5">
        <v>46063.69867011574</v>
      </c>
    </row>
    <row r="96" ht="15.75" customHeight="1">
      <c r="A96" s="1" t="s">
        <v>32</v>
      </c>
      <c r="B96" s="1" t="s">
        <v>1111</v>
      </c>
      <c r="C96" s="1" t="s">
        <v>1112</v>
      </c>
      <c r="D96" s="1" t="s">
        <v>1114</v>
      </c>
      <c r="E96" s="1" t="s">
        <v>1115</v>
      </c>
      <c r="F96" s="1" t="s">
        <v>39</v>
      </c>
      <c r="G96" s="1" t="s">
        <v>77</v>
      </c>
      <c r="H96" s="1" t="s">
        <v>41</v>
      </c>
      <c r="I96" s="1" t="s">
        <v>1117</v>
      </c>
      <c r="J96" s="1" t="s">
        <v>43</v>
      </c>
      <c r="K96" s="1" t="s">
        <v>1119</v>
      </c>
      <c r="L96" s="1" t="s">
        <v>1120</v>
      </c>
      <c r="M96" s="1" t="s">
        <v>46</v>
      </c>
      <c r="O96" s="1" t="b">
        <v>0</v>
      </c>
      <c r="P96" s="12">
        <v>0.375</v>
      </c>
      <c r="Q96" s="12">
        <v>0.75</v>
      </c>
      <c r="R96" s="1" t="s">
        <v>1122</v>
      </c>
      <c r="S96" s="1" t="s">
        <v>1123</v>
      </c>
      <c r="T96" s="1" t="s">
        <v>51</v>
      </c>
      <c r="U96" s="5">
        <v>46063.6990116088</v>
      </c>
    </row>
    <row r="97" ht="15.75" customHeight="1">
      <c r="A97" s="1" t="s">
        <v>32</v>
      </c>
      <c r="B97" s="1" t="s">
        <v>1124</v>
      </c>
      <c r="C97" s="1" t="s">
        <v>1125</v>
      </c>
      <c r="D97" s="1" t="s">
        <v>1126</v>
      </c>
      <c r="E97" s="1" t="s">
        <v>1128</v>
      </c>
      <c r="F97" s="1" t="s">
        <v>39</v>
      </c>
      <c r="G97" s="1" t="s">
        <v>266</v>
      </c>
      <c r="H97" s="1" t="s">
        <v>41</v>
      </c>
      <c r="I97" s="1" t="s">
        <v>1129</v>
      </c>
      <c r="J97" s="1" t="s">
        <v>1065</v>
      </c>
      <c r="K97" s="1" t="s">
        <v>1130</v>
      </c>
      <c r="L97" s="1" t="s">
        <v>1131</v>
      </c>
      <c r="M97" s="1" t="s">
        <v>46</v>
      </c>
      <c r="O97" s="1" t="b">
        <v>0</v>
      </c>
      <c r="P97" s="12">
        <v>0.375</v>
      </c>
      <c r="Q97" s="12">
        <v>0.7916666666666666</v>
      </c>
      <c r="R97" s="1" t="s">
        <v>1132</v>
      </c>
      <c r="S97" s="1" t="s">
        <v>1133</v>
      </c>
      <c r="T97" s="1" t="s">
        <v>51</v>
      </c>
      <c r="U97" s="5">
        <v>46063.69931253472</v>
      </c>
    </row>
    <row r="98" ht="15.75" customHeight="1">
      <c r="A98" s="1" t="s">
        <v>32</v>
      </c>
      <c r="B98" s="1" t="s">
        <v>1134</v>
      </c>
      <c r="C98" s="1">
        <v>8.80753E7</v>
      </c>
      <c r="D98" s="1" t="s">
        <v>1135</v>
      </c>
      <c r="E98" s="1">
        <v>2045.0</v>
      </c>
      <c r="F98" s="1" t="s">
        <v>1136</v>
      </c>
      <c r="G98" s="1" t="s">
        <v>1137</v>
      </c>
      <c r="H98" s="1" t="s">
        <v>240</v>
      </c>
      <c r="I98" s="1" t="s">
        <v>1138</v>
      </c>
      <c r="J98" s="1" t="s">
        <v>1139</v>
      </c>
      <c r="K98" s="1" t="s">
        <v>1140</v>
      </c>
      <c r="L98" s="1" t="s">
        <v>1141</v>
      </c>
      <c r="M98" s="1" t="s">
        <v>1142</v>
      </c>
      <c r="N98" s="1" t="s">
        <v>1143</v>
      </c>
      <c r="O98" s="1" t="b">
        <v>0</v>
      </c>
      <c r="P98" s="12">
        <v>0.375</v>
      </c>
      <c r="Q98" s="12">
        <v>0.75</v>
      </c>
      <c r="R98" s="1" t="s">
        <v>1145</v>
      </c>
      <c r="S98" s="1" t="s">
        <v>1147</v>
      </c>
      <c r="T98" s="1" t="s">
        <v>51</v>
      </c>
      <c r="U98" s="5">
        <v>46171.44327545139</v>
      </c>
    </row>
    <row r="99" ht="15.75" customHeight="1">
      <c r="A99" s="1" t="s">
        <v>32</v>
      </c>
      <c r="B99" s="1" t="s">
        <v>1148</v>
      </c>
      <c r="C99" s="1">
        <v>8.9201601E7</v>
      </c>
      <c r="D99" s="1" t="s">
        <v>1149</v>
      </c>
      <c r="E99" s="1">
        <v>515.0</v>
      </c>
      <c r="F99" s="1" t="s">
        <v>39</v>
      </c>
      <c r="G99" s="1" t="s">
        <v>1151</v>
      </c>
      <c r="H99" s="1" t="s">
        <v>240</v>
      </c>
      <c r="I99" s="1" t="s">
        <v>1154</v>
      </c>
      <c r="J99" s="1" t="s">
        <v>1139</v>
      </c>
      <c r="K99" s="1" t="s">
        <v>1156</v>
      </c>
      <c r="L99" s="1" t="s">
        <v>1157</v>
      </c>
      <c r="M99" s="1" t="s">
        <v>1142</v>
      </c>
      <c r="N99" s="1" t="s">
        <v>1143</v>
      </c>
      <c r="O99" s="1" t="b">
        <v>1</v>
      </c>
      <c r="P99" s="12">
        <v>0.375</v>
      </c>
      <c r="Q99" s="12">
        <v>0.7916666666666666</v>
      </c>
      <c r="R99" s="1" t="s">
        <v>1160</v>
      </c>
      <c r="S99" s="1" t="s">
        <v>1162</v>
      </c>
      <c r="T99" s="1" t="s">
        <v>51</v>
      </c>
      <c r="U99" s="5">
        <v>46044.42509311342</v>
      </c>
    </row>
    <row r="100" ht="15.75" customHeight="1">
      <c r="A100" s="1" t="s">
        <v>32</v>
      </c>
      <c r="B100" s="1" t="s">
        <v>1164</v>
      </c>
      <c r="C100" s="1">
        <v>8.80753E7</v>
      </c>
      <c r="D100" s="1" t="s">
        <v>1135</v>
      </c>
      <c r="E100" s="1">
        <v>2086.0</v>
      </c>
      <c r="F100" s="1" t="s">
        <v>1136</v>
      </c>
      <c r="G100" s="1" t="s">
        <v>1137</v>
      </c>
      <c r="H100" s="1" t="s">
        <v>240</v>
      </c>
      <c r="I100" s="1" t="s">
        <v>1165</v>
      </c>
      <c r="J100" s="1" t="s">
        <v>1139</v>
      </c>
      <c r="K100" s="1" t="s">
        <v>1166</v>
      </c>
      <c r="L100" s="1" t="s">
        <v>1167</v>
      </c>
      <c r="M100" s="1" t="s">
        <v>1142</v>
      </c>
      <c r="O100" s="1" t="b">
        <v>0</v>
      </c>
      <c r="P100" s="12">
        <v>0.375</v>
      </c>
      <c r="Q100" s="12">
        <v>0.7916666666666666</v>
      </c>
      <c r="R100" s="1" t="s">
        <v>1171</v>
      </c>
      <c r="S100" s="1" t="s">
        <v>1172</v>
      </c>
      <c r="T100" s="1" t="s">
        <v>51</v>
      </c>
      <c r="U100" s="5">
        <v>46063.70097033565</v>
      </c>
    </row>
    <row r="101" ht="15.75" customHeight="1">
      <c r="A101" s="1" t="s">
        <v>32</v>
      </c>
      <c r="B101" s="1" t="s">
        <v>1173</v>
      </c>
      <c r="C101" s="1">
        <v>8.8056618E7</v>
      </c>
      <c r="D101" s="1" t="s">
        <v>1174</v>
      </c>
      <c r="E101" s="1">
        <v>6777.0</v>
      </c>
      <c r="F101" s="1" t="s">
        <v>1175</v>
      </c>
      <c r="G101" s="1" t="s">
        <v>1137</v>
      </c>
      <c r="H101" s="1" t="s">
        <v>240</v>
      </c>
      <c r="I101" s="1" t="s">
        <v>1176</v>
      </c>
      <c r="J101" s="1" t="s">
        <v>1139</v>
      </c>
      <c r="K101" s="1" t="s">
        <v>1177</v>
      </c>
      <c r="L101" s="1" t="s">
        <v>1178</v>
      </c>
      <c r="M101" s="1" t="s">
        <v>1142</v>
      </c>
      <c r="O101" s="1" t="b">
        <v>0</v>
      </c>
      <c r="P101" s="12">
        <v>0.4166666666666667</v>
      </c>
      <c r="Q101" s="12">
        <v>0.9166666666666666</v>
      </c>
      <c r="R101" s="1" t="s">
        <v>1179</v>
      </c>
      <c r="S101" s="1" t="s">
        <v>1181</v>
      </c>
      <c r="T101" s="1" t="s">
        <v>51</v>
      </c>
      <c r="U101" s="5">
        <v>46066.61173123842</v>
      </c>
    </row>
    <row r="102" ht="15.75" customHeight="1">
      <c r="A102" s="1" t="s">
        <v>32</v>
      </c>
      <c r="B102" s="1" t="s">
        <v>1182</v>
      </c>
      <c r="C102" s="1">
        <v>8.833004E7</v>
      </c>
      <c r="D102" s="1" t="s">
        <v>1183</v>
      </c>
      <c r="E102" s="1">
        <v>91.0</v>
      </c>
      <c r="F102" s="1" t="s">
        <v>39</v>
      </c>
      <c r="G102" s="1" t="s">
        <v>1184</v>
      </c>
      <c r="H102" s="1" t="s">
        <v>240</v>
      </c>
      <c r="I102" s="1" t="s">
        <v>1185</v>
      </c>
      <c r="J102" s="1" t="s">
        <v>1139</v>
      </c>
      <c r="K102" s="1" t="s">
        <v>1186</v>
      </c>
      <c r="L102" s="1" t="s">
        <v>1187</v>
      </c>
      <c r="M102" s="1" t="s">
        <v>1142</v>
      </c>
      <c r="O102" s="1" t="b">
        <v>0</v>
      </c>
      <c r="P102" s="12">
        <v>0.375</v>
      </c>
      <c r="Q102" s="12">
        <v>0.7916666666666666</v>
      </c>
      <c r="R102" s="1" t="s">
        <v>1188</v>
      </c>
      <c r="S102" s="1" t="s">
        <v>1190</v>
      </c>
      <c r="T102" s="1" t="s">
        <v>51</v>
      </c>
      <c r="U102" s="5">
        <v>46066.65864998843</v>
      </c>
    </row>
    <row r="103" ht="15.75" customHeight="1">
      <c r="A103" s="1" t="s">
        <v>32</v>
      </c>
      <c r="B103" s="1" t="s">
        <v>1193</v>
      </c>
      <c r="C103" s="1">
        <v>8.8010902E7</v>
      </c>
      <c r="D103" s="1" t="s">
        <v>1194</v>
      </c>
      <c r="E103" s="1">
        <v>302.0</v>
      </c>
      <c r="F103" s="1" t="s">
        <v>39</v>
      </c>
      <c r="G103" s="1" t="s">
        <v>1137</v>
      </c>
      <c r="H103" s="1" t="s">
        <v>240</v>
      </c>
      <c r="I103" s="1" t="s">
        <v>1196</v>
      </c>
      <c r="J103" s="1" t="s">
        <v>1139</v>
      </c>
      <c r="K103" s="1" t="s">
        <v>1197</v>
      </c>
      <c r="L103" s="1" t="s">
        <v>1198</v>
      </c>
      <c r="M103" s="1" t="s">
        <v>1142</v>
      </c>
      <c r="O103" s="1" t="b">
        <v>0</v>
      </c>
      <c r="P103" s="12">
        <v>0.375</v>
      </c>
      <c r="Q103" s="12">
        <v>0.7916666666666666</v>
      </c>
      <c r="R103" s="1" t="s">
        <v>1199</v>
      </c>
      <c r="S103" s="1" t="s">
        <v>1200</v>
      </c>
      <c r="T103" s="1" t="s">
        <v>51</v>
      </c>
      <c r="U103" s="5">
        <v>46066.65957049769</v>
      </c>
    </row>
    <row r="104" ht="15.75" customHeight="1">
      <c r="A104" s="1" t="s">
        <v>32</v>
      </c>
      <c r="B104" s="1" t="s">
        <v>1202</v>
      </c>
      <c r="C104" s="1">
        <v>8.81179E7</v>
      </c>
      <c r="D104" s="1" t="s">
        <v>1203</v>
      </c>
      <c r="E104" s="1">
        <v>1079.0</v>
      </c>
      <c r="F104" s="1" t="s">
        <v>1204</v>
      </c>
      <c r="G104" s="1" t="s">
        <v>1205</v>
      </c>
      <c r="H104" s="1" t="s">
        <v>240</v>
      </c>
      <c r="I104" s="1" t="s">
        <v>1206</v>
      </c>
      <c r="J104" s="1" t="s">
        <v>1139</v>
      </c>
      <c r="K104" s="1" t="s">
        <v>1207</v>
      </c>
      <c r="L104" s="1" t="s">
        <v>1208</v>
      </c>
      <c r="M104" s="1" t="s">
        <v>1142</v>
      </c>
      <c r="O104" s="1" t="b">
        <v>0</v>
      </c>
      <c r="P104" s="12">
        <v>0.4166666666666667</v>
      </c>
      <c r="Q104" s="12">
        <v>0.9166666666666666</v>
      </c>
      <c r="R104" s="1" t="s">
        <v>1209</v>
      </c>
      <c r="S104" s="1" t="s">
        <v>1210</v>
      </c>
      <c r="T104" s="1" t="s">
        <v>51</v>
      </c>
      <c r="U104" s="5">
        <v>46066.66003435185</v>
      </c>
    </row>
    <row r="105" ht="15.75" customHeight="1">
      <c r="A105" s="1" t="s">
        <v>32</v>
      </c>
      <c r="B105" s="1" t="s">
        <v>1211</v>
      </c>
      <c r="C105" s="1">
        <v>8.8102E7</v>
      </c>
      <c r="D105" s="1" t="s">
        <v>1212</v>
      </c>
      <c r="E105" s="1">
        <v>864.0</v>
      </c>
      <c r="F105" s="1" t="s">
        <v>1213</v>
      </c>
      <c r="G105" s="1" t="s">
        <v>1205</v>
      </c>
      <c r="H105" s="1" t="s">
        <v>240</v>
      </c>
      <c r="I105" s="1" t="s">
        <v>1215</v>
      </c>
      <c r="J105" s="1" t="s">
        <v>1139</v>
      </c>
      <c r="K105" s="1" t="s">
        <v>1217</v>
      </c>
      <c r="L105" s="1" t="s">
        <v>1219</v>
      </c>
      <c r="M105" s="1" t="s">
        <v>1142</v>
      </c>
      <c r="O105" s="1" t="b">
        <v>0</v>
      </c>
      <c r="P105" s="12">
        <v>0.375</v>
      </c>
      <c r="Q105" s="12">
        <v>0.7916666666666666</v>
      </c>
      <c r="R105" s="1" t="s">
        <v>1221</v>
      </c>
      <c r="S105" s="1" t="s">
        <v>1222</v>
      </c>
      <c r="T105" s="1" t="s">
        <v>51</v>
      </c>
      <c r="U105" s="5">
        <v>46066.66042112269</v>
      </c>
    </row>
    <row r="106" ht="15.75" customHeight="1">
      <c r="A106" s="1" t="s">
        <v>32</v>
      </c>
      <c r="B106" s="1" t="s">
        <v>1223</v>
      </c>
      <c r="C106" s="1">
        <v>8.8301001E7</v>
      </c>
      <c r="D106" s="1" t="s">
        <v>1224</v>
      </c>
      <c r="E106" s="1">
        <v>680.0</v>
      </c>
      <c r="F106" s="1" t="s">
        <v>39</v>
      </c>
      <c r="G106" s="1" t="s">
        <v>1225</v>
      </c>
      <c r="H106" s="1" t="s">
        <v>240</v>
      </c>
      <c r="I106" s="1" t="s">
        <v>1226</v>
      </c>
      <c r="J106" s="1" t="s">
        <v>1139</v>
      </c>
      <c r="K106" s="1" t="s">
        <v>1227</v>
      </c>
      <c r="L106" s="1" t="s">
        <v>1228</v>
      </c>
      <c r="M106" s="1" t="s">
        <v>1142</v>
      </c>
      <c r="O106" s="1" t="b">
        <v>0</v>
      </c>
      <c r="P106" s="12">
        <v>0.375</v>
      </c>
      <c r="Q106" s="12">
        <v>0.7916666666666666</v>
      </c>
      <c r="R106" s="1" t="s">
        <v>1229</v>
      </c>
      <c r="S106" s="1" t="s">
        <v>1230</v>
      </c>
      <c r="T106" s="1" t="s">
        <v>51</v>
      </c>
      <c r="U106" s="5">
        <v>46066.66078554398</v>
      </c>
    </row>
    <row r="107" ht="15.75" customHeight="1">
      <c r="A107" s="1" t="s">
        <v>32</v>
      </c>
      <c r="B107" s="1" t="s">
        <v>1231</v>
      </c>
      <c r="C107" s="1">
        <v>8.801E7</v>
      </c>
      <c r="D107" s="1" t="s">
        <v>1194</v>
      </c>
      <c r="E107" s="1">
        <v>395.0</v>
      </c>
      <c r="F107" s="1" t="s">
        <v>39</v>
      </c>
      <c r="G107" s="1" t="s">
        <v>1137</v>
      </c>
      <c r="H107" s="1" t="s">
        <v>240</v>
      </c>
      <c r="I107" s="1" t="s">
        <v>1233</v>
      </c>
      <c r="J107" s="1" t="s">
        <v>1139</v>
      </c>
      <c r="K107" s="1" t="s">
        <v>1234</v>
      </c>
      <c r="L107" s="1" t="s">
        <v>1235</v>
      </c>
      <c r="M107" s="1" t="s">
        <v>1142</v>
      </c>
      <c r="O107" s="1" t="b">
        <v>0</v>
      </c>
      <c r="P107" s="12">
        <v>0.375</v>
      </c>
      <c r="Q107" s="12">
        <v>0.7916666666666666</v>
      </c>
      <c r="R107" s="1" t="s">
        <v>1236</v>
      </c>
      <c r="S107" s="1" t="s">
        <v>1237</v>
      </c>
      <c r="T107" s="1" t="s">
        <v>51</v>
      </c>
      <c r="U107" s="5">
        <v>46066.66113748842</v>
      </c>
    </row>
    <row r="108" ht="15.75" customHeight="1">
      <c r="A108" s="1" t="s">
        <v>32</v>
      </c>
      <c r="B108" s="1" t="s">
        <v>1238</v>
      </c>
      <c r="C108" s="1">
        <v>8.801002E7</v>
      </c>
      <c r="D108" s="1" t="s">
        <v>1239</v>
      </c>
      <c r="E108" s="1">
        <v>210.0</v>
      </c>
      <c r="F108" s="1" t="s">
        <v>39</v>
      </c>
      <c r="G108" s="1" t="s">
        <v>1137</v>
      </c>
      <c r="H108" s="1" t="s">
        <v>240</v>
      </c>
      <c r="I108" s="1" t="s">
        <v>1241</v>
      </c>
      <c r="J108" s="1" t="s">
        <v>1139</v>
      </c>
      <c r="K108" s="1" t="s">
        <v>1242</v>
      </c>
      <c r="L108" s="1" t="s">
        <v>1243</v>
      </c>
      <c r="M108" s="1" t="s">
        <v>1142</v>
      </c>
      <c r="O108" s="1" t="b">
        <v>0</v>
      </c>
      <c r="P108" s="12">
        <v>0.375</v>
      </c>
      <c r="Q108" s="12">
        <v>0.7916666666666666</v>
      </c>
      <c r="R108" s="1" t="s">
        <v>1244</v>
      </c>
      <c r="S108" s="1" t="s">
        <v>1245</v>
      </c>
      <c r="T108" s="1" t="s">
        <v>51</v>
      </c>
      <c r="U108" s="5">
        <v>46044.42524783565</v>
      </c>
    </row>
    <row r="109" ht="15.75" customHeight="1">
      <c r="A109" s="1" t="s">
        <v>32</v>
      </c>
      <c r="B109" s="1" t="s">
        <v>1248</v>
      </c>
      <c r="C109" s="1">
        <v>8.81179E7</v>
      </c>
      <c r="D109" s="1" t="s">
        <v>1203</v>
      </c>
      <c r="E109" s="1">
        <v>1079.0</v>
      </c>
      <c r="F109" s="1" t="s">
        <v>1204</v>
      </c>
      <c r="G109" s="1" t="s">
        <v>1205</v>
      </c>
      <c r="H109" s="1" t="s">
        <v>240</v>
      </c>
      <c r="I109" s="1" t="s">
        <v>1251</v>
      </c>
      <c r="J109" s="1" t="s">
        <v>1139</v>
      </c>
      <c r="K109" s="1" t="s">
        <v>1252</v>
      </c>
      <c r="L109" s="1" t="s">
        <v>1253</v>
      </c>
      <c r="M109" s="1" t="s">
        <v>1142</v>
      </c>
      <c r="O109" s="1" t="b">
        <v>0</v>
      </c>
      <c r="P109" s="12">
        <v>0.4166666666666667</v>
      </c>
      <c r="Q109" s="12">
        <v>0.9166666666666666</v>
      </c>
      <c r="R109" s="1" t="s">
        <v>1256</v>
      </c>
      <c r="S109" s="1" t="s">
        <v>1257</v>
      </c>
      <c r="T109" s="1" t="s">
        <v>51</v>
      </c>
      <c r="U109" s="5">
        <v>46066.66155726852</v>
      </c>
    </row>
    <row r="110" ht="15.75" customHeight="1">
      <c r="A110" s="1" t="s">
        <v>32</v>
      </c>
      <c r="B110" s="1" t="s">
        <v>1258</v>
      </c>
      <c r="C110" s="1">
        <v>8.8035E7</v>
      </c>
      <c r="D110" s="1" t="s">
        <v>1259</v>
      </c>
      <c r="E110" s="1">
        <v>687.0</v>
      </c>
      <c r="F110" s="1" t="s">
        <v>1260</v>
      </c>
      <c r="G110" s="1" t="s">
        <v>1137</v>
      </c>
      <c r="H110" s="1" t="s">
        <v>240</v>
      </c>
      <c r="I110" s="1" t="s">
        <v>1261</v>
      </c>
      <c r="J110" s="1" t="s">
        <v>1139</v>
      </c>
      <c r="K110" s="1" t="s">
        <v>1262</v>
      </c>
      <c r="L110" s="1" t="s">
        <v>1263</v>
      </c>
      <c r="M110" s="1" t="s">
        <v>1142</v>
      </c>
      <c r="O110" s="1" t="b">
        <v>0</v>
      </c>
      <c r="P110" s="12">
        <v>0.4166666666666667</v>
      </c>
      <c r="Q110" s="12">
        <v>0.9166666666666666</v>
      </c>
      <c r="R110" s="1" t="s">
        <v>1266</v>
      </c>
      <c r="S110" s="1" t="s">
        <v>1267</v>
      </c>
      <c r="T110" s="1" t="s">
        <v>51</v>
      </c>
      <c r="U110" s="5">
        <v>46066.66197517361</v>
      </c>
    </row>
    <row r="111" ht="15.75" customHeight="1">
      <c r="A111" s="1" t="s">
        <v>32</v>
      </c>
      <c r="B111" s="1" t="s">
        <v>1269</v>
      </c>
      <c r="C111" s="1">
        <v>8.8010902E7</v>
      </c>
      <c r="D111" s="1" t="s">
        <v>1194</v>
      </c>
      <c r="E111" s="1">
        <v>107.0</v>
      </c>
      <c r="F111" s="1" t="s">
        <v>39</v>
      </c>
      <c r="G111" s="1" t="s">
        <v>1137</v>
      </c>
      <c r="H111" s="1" t="s">
        <v>240</v>
      </c>
      <c r="I111" s="1" t="s">
        <v>1271</v>
      </c>
      <c r="J111" s="1" t="s">
        <v>1139</v>
      </c>
      <c r="K111" s="1" t="s">
        <v>1272</v>
      </c>
      <c r="L111" s="1" t="s">
        <v>1273</v>
      </c>
      <c r="M111" s="1" t="s">
        <v>1142</v>
      </c>
      <c r="O111" s="1" t="b">
        <v>0</v>
      </c>
      <c r="P111" s="12">
        <v>0.375</v>
      </c>
      <c r="Q111" s="12">
        <v>0.7916666666666666</v>
      </c>
      <c r="R111" s="1" t="s">
        <v>1275</v>
      </c>
      <c r="S111" s="1" t="s">
        <v>1276</v>
      </c>
      <c r="T111" s="1" t="s">
        <v>51</v>
      </c>
      <c r="U111" s="5">
        <v>46066.66227177083</v>
      </c>
    </row>
    <row r="112" ht="15.75" customHeight="1">
      <c r="A112" s="1" t="s">
        <v>32</v>
      </c>
      <c r="B112" s="1" t="s">
        <v>1277</v>
      </c>
      <c r="C112" s="1">
        <v>8.801002E7</v>
      </c>
      <c r="D112" s="1" t="s">
        <v>1239</v>
      </c>
      <c r="E112" s="1">
        <v>170.0</v>
      </c>
      <c r="F112" s="1" t="s">
        <v>39</v>
      </c>
      <c r="G112" s="1" t="s">
        <v>1137</v>
      </c>
      <c r="H112" s="1" t="s">
        <v>240</v>
      </c>
      <c r="I112" s="1" t="s">
        <v>1279</v>
      </c>
      <c r="J112" s="1" t="s">
        <v>1139</v>
      </c>
      <c r="K112" s="1" t="s">
        <v>1280</v>
      </c>
      <c r="L112" s="1" t="s">
        <v>1281</v>
      </c>
      <c r="M112" s="1" t="s">
        <v>1142</v>
      </c>
      <c r="O112" s="1" t="b">
        <v>0</v>
      </c>
      <c r="P112" s="12">
        <v>0.375</v>
      </c>
      <c r="Q112" s="12">
        <v>0.7916666666666666</v>
      </c>
      <c r="R112" s="1" t="s">
        <v>1284</v>
      </c>
      <c r="S112" s="1" t="s">
        <v>1285</v>
      </c>
      <c r="T112" s="1" t="s">
        <v>51</v>
      </c>
      <c r="U112" s="5">
        <v>46066.61110230324</v>
      </c>
    </row>
    <row r="113" ht="15.75" customHeight="1">
      <c r="A113" s="1" t="s">
        <v>32</v>
      </c>
      <c r="B113" s="1" t="s">
        <v>1288</v>
      </c>
      <c r="C113" s="1" t="s">
        <v>1289</v>
      </c>
      <c r="D113" s="1" t="s">
        <v>1203</v>
      </c>
      <c r="E113" s="1">
        <v>1079.0</v>
      </c>
      <c r="F113" s="1" t="s">
        <v>1204</v>
      </c>
      <c r="G113" s="1" t="s">
        <v>1205</v>
      </c>
      <c r="H113" s="1" t="s">
        <v>240</v>
      </c>
      <c r="I113" s="1" t="s">
        <v>1291</v>
      </c>
      <c r="J113" s="1" t="s">
        <v>1139</v>
      </c>
      <c r="K113" s="1" t="s">
        <v>1293</v>
      </c>
      <c r="L113" s="1" t="s">
        <v>1294</v>
      </c>
      <c r="M113" s="1" t="s">
        <v>1142</v>
      </c>
      <c r="O113" s="1" t="b">
        <v>0</v>
      </c>
      <c r="P113" s="12">
        <v>0.4166666666666667</v>
      </c>
      <c r="Q113" s="12">
        <v>0.9166666666666666</v>
      </c>
      <c r="R113" s="1" t="s">
        <v>1295</v>
      </c>
      <c r="S113" s="1" t="s">
        <v>1296</v>
      </c>
      <c r="T113" s="1" t="s">
        <v>51</v>
      </c>
      <c r="U113" s="5">
        <v>46066.6627390162</v>
      </c>
    </row>
    <row r="114" ht="15.75" customHeight="1">
      <c r="A114" s="1" t="s">
        <v>32</v>
      </c>
      <c r="B114" s="1" t="s">
        <v>1297</v>
      </c>
      <c r="C114" s="1" t="s">
        <v>1298</v>
      </c>
      <c r="D114" s="1" t="s">
        <v>1299</v>
      </c>
      <c r="E114" s="1">
        <v>113.0</v>
      </c>
      <c r="F114" s="1" t="s">
        <v>39</v>
      </c>
      <c r="G114" s="1" t="s">
        <v>1137</v>
      </c>
      <c r="H114" s="1" t="s">
        <v>240</v>
      </c>
      <c r="I114" s="1" t="s">
        <v>1300</v>
      </c>
      <c r="J114" s="1" t="s">
        <v>1139</v>
      </c>
      <c r="K114" s="1" t="s">
        <v>1301</v>
      </c>
      <c r="L114" s="1" t="s">
        <v>1303</v>
      </c>
      <c r="M114" s="1" t="s">
        <v>1142</v>
      </c>
      <c r="O114" s="1" t="b">
        <v>0</v>
      </c>
      <c r="P114" s="12">
        <v>0.375</v>
      </c>
      <c r="Q114" s="12">
        <v>0.7916666666666666</v>
      </c>
      <c r="R114" s="1" t="s">
        <v>1304</v>
      </c>
      <c r="S114" s="1" t="s">
        <v>1306</v>
      </c>
      <c r="T114" s="1" t="s">
        <v>51</v>
      </c>
      <c r="U114" s="5">
        <v>46126.36659465278</v>
      </c>
    </row>
    <row r="115" ht="15.75" customHeight="1">
      <c r="A115" s="1" t="s">
        <v>32</v>
      </c>
      <c r="B115" s="1" t="s">
        <v>1307</v>
      </c>
      <c r="C115" s="1" t="s">
        <v>1308</v>
      </c>
      <c r="D115" s="1" t="s">
        <v>1309</v>
      </c>
      <c r="E115" s="1">
        <v>63.0</v>
      </c>
      <c r="F115" s="1" t="s">
        <v>39</v>
      </c>
      <c r="G115" s="1" t="s">
        <v>1310</v>
      </c>
      <c r="H115" s="1" t="s">
        <v>240</v>
      </c>
      <c r="I115" s="1" t="s">
        <v>1311</v>
      </c>
      <c r="J115" s="1" t="s">
        <v>1139</v>
      </c>
      <c r="K115" s="1" t="s">
        <v>1312</v>
      </c>
      <c r="L115" s="1" t="s">
        <v>1313</v>
      </c>
      <c r="M115" s="1" t="s">
        <v>1142</v>
      </c>
      <c r="O115" s="1" t="b">
        <v>0</v>
      </c>
      <c r="P115" s="12">
        <v>0.375</v>
      </c>
      <c r="Q115" s="12">
        <v>0.7916666666666666</v>
      </c>
      <c r="R115" s="1" t="s">
        <v>1314</v>
      </c>
      <c r="S115" s="1" t="s">
        <v>1315</v>
      </c>
      <c r="T115" s="1" t="s">
        <v>51</v>
      </c>
      <c r="U115" s="5">
        <v>46066.66314048611</v>
      </c>
    </row>
    <row r="116" ht="15.75" customHeight="1">
      <c r="A116" s="1" t="s">
        <v>32</v>
      </c>
      <c r="B116" s="1" t="s">
        <v>1316</v>
      </c>
      <c r="C116" s="1" t="s">
        <v>1317</v>
      </c>
      <c r="D116" s="1" t="s">
        <v>1318</v>
      </c>
      <c r="E116" s="1">
        <v>281.0</v>
      </c>
      <c r="F116" s="1" t="s">
        <v>1319</v>
      </c>
      <c r="G116" s="1" t="s">
        <v>1205</v>
      </c>
      <c r="H116" s="1" t="s">
        <v>240</v>
      </c>
      <c r="I116" s="1" t="s">
        <v>1320</v>
      </c>
      <c r="J116" s="1" t="s">
        <v>1139</v>
      </c>
      <c r="K116" s="1" t="s">
        <v>1321</v>
      </c>
      <c r="L116" s="1" t="s">
        <v>1322</v>
      </c>
      <c r="M116" s="1" t="s">
        <v>1142</v>
      </c>
      <c r="O116" s="1" t="b">
        <v>0</v>
      </c>
      <c r="P116" s="12">
        <v>0.4166666666666667</v>
      </c>
      <c r="Q116" s="12">
        <v>0.9166666666666666</v>
      </c>
      <c r="R116" s="1" t="s">
        <v>1323</v>
      </c>
      <c r="S116" s="1" t="s">
        <v>1324</v>
      </c>
      <c r="T116" s="1" t="s">
        <v>51</v>
      </c>
      <c r="U116" s="5">
        <v>46174.49369892361</v>
      </c>
    </row>
    <row r="117" ht="15.75" customHeight="1">
      <c r="A117" s="1" t="s">
        <v>32</v>
      </c>
      <c r="B117" s="1" t="s">
        <v>1325</v>
      </c>
      <c r="C117" s="1" t="s">
        <v>1326</v>
      </c>
      <c r="D117" s="1" t="s">
        <v>1328</v>
      </c>
      <c r="E117" s="1">
        <v>25.0</v>
      </c>
      <c r="F117" s="1" t="s">
        <v>39</v>
      </c>
      <c r="G117" s="1" t="s">
        <v>1329</v>
      </c>
      <c r="H117" s="1" t="s">
        <v>240</v>
      </c>
      <c r="I117" s="1" t="s">
        <v>1330</v>
      </c>
      <c r="J117" s="1" t="s">
        <v>1139</v>
      </c>
      <c r="K117" s="1" t="s">
        <v>1331</v>
      </c>
      <c r="L117" s="1" t="s">
        <v>1332</v>
      </c>
      <c r="M117" s="1" t="s">
        <v>1142</v>
      </c>
      <c r="O117" s="1" t="b">
        <v>0</v>
      </c>
      <c r="P117" s="12">
        <v>0.375</v>
      </c>
      <c r="Q117" s="12">
        <v>0.7916666666666666</v>
      </c>
      <c r="R117" s="1" t="s">
        <v>1333</v>
      </c>
      <c r="S117" s="1" t="s">
        <v>1334</v>
      </c>
      <c r="T117" s="1" t="s">
        <v>51</v>
      </c>
      <c r="U117" s="5">
        <v>46066.66452935185</v>
      </c>
    </row>
    <row r="118" ht="15.75" customHeight="1">
      <c r="A118" s="1" t="s">
        <v>32</v>
      </c>
      <c r="B118" s="1" t="s">
        <v>1335</v>
      </c>
      <c r="C118" s="1" t="s">
        <v>1336</v>
      </c>
      <c r="D118" s="1" t="s">
        <v>1337</v>
      </c>
      <c r="E118" s="1">
        <v>1170.0</v>
      </c>
      <c r="F118" s="1" t="s">
        <v>1338</v>
      </c>
      <c r="G118" s="1" t="s">
        <v>1205</v>
      </c>
      <c r="H118" s="1" t="s">
        <v>240</v>
      </c>
      <c r="I118" s="1" t="s">
        <v>1339</v>
      </c>
      <c r="J118" s="1" t="s">
        <v>1139</v>
      </c>
      <c r="K118" s="1" t="s">
        <v>1340</v>
      </c>
      <c r="L118" s="1" t="s">
        <v>1341</v>
      </c>
      <c r="M118" s="1" t="s">
        <v>1142</v>
      </c>
      <c r="O118" s="1" t="b">
        <v>0</v>
      </c>
      <c r="P118" s="12">
        <v>0.375</v>
      </c>
      <c r="Q118" s="12">
        <v>0.7916666666666666</v>
      </c>
      <c r="R118" s="1" t="s">
        <v>1342</v>
      </c>
      <c r="S118" s="1" t="s">
        <v>1343</v>
      </c>
      <c r="T118" s="1" t="s">
        <v>51</v>
      </c>
      <c r="U118" s="5">
        <v>46147.49648523148</v>
      </c>
    </row>
    <row r="119" ht="15.75" customHeight="1">
      <c r="A119" s="1" t="s">
        <v>32</v>
      </c>
      <c r="B119" s="1" t="s">
        <v>1344</v>
      </c>
      <c r="C119" s="1" t="s">
        <v>1345</v>
      </c>
      <c r="D119" s="1" t="s">
        <v>1346</v>
      </c>
      <c r="E119" s="1" t="s">
        <v>1347</v>
      </c>
      <c r="F119" s="1" t="s">
        <v>1348</v>
      </c>
      <c r="G119" s="1" t="s">
        <v>1137</v>
      </c>
      <c r="H119" s="1" t="s">
        <v>240</v>
      </c>
      <c r="I119" s="1" t="s">
        <v>1349</v>
      </c>
      <c r="J119" s="1" t="s">
        <v>1139</v>
      </c>
      <c r="K119" s="1" t="s">
        <v>1350</v>
      </c>
      <c r="L119" s="1" t="s">
        <v>1350</v>
      </c>
      <c r="M119" s="1" t="s">
        <v>1142</v>
      </c>
      <c r="O119" s="1" t="b">
        <v>0</v>
      </c>
      <c r="P119" s="12">
        <v>0.4166666666666667</v>
      </c>
      <c r="Q119" s="12">
        <v>0.8333333333333334</v>
      </c>
      <c r="R119" s="1" t="s">
        <v>1352</v>
      </c>
      <c r="S119" s="1" t="s">
        <v>1353</v>
      </c>
      <c r="T119" s="1" t="s">
        <v>51</v>
      </c>
      <c r="U119" s="5">
        <v>46107.45137887732</v>
      </c>
    </row>
    <row r="120" ht="15.75" customHeight="1">
      <c r="A120" s="1" t="s">
        <v>32</v>
      </c>
      <c r="B120" s="1" t="s">
        <v>1355</v>
      </c>
      <c r="C120" s="1" t="s">
        <v>1356</v>
      </c>
      <c r="D120" s="1" t="s">
        <v>1357</v>
      </c>
      <c r="E120" s="1" t="s">
        <v>1358</v>
      </c>
      <c r="F120" s="1" t="s">
        <v>1359</v>
      </c>
      <c r="G120" s="1" t="s">
        <v>1360</v>
      </c>
      <c r="H120" s="1" t="s">
        <v>226</v>
      </c>
      <c r="I120" s="1" t="s">
        <v>1361</v>
      </c>
      <c r="J120" s="1" t="s">
        <v>1363</v>
      </c>
      <c r="K120" s="1">
        <v>5.13018085E9</v>
      </c>
      <c r="L120" s="1" t="s">
        <v>1364</v>
      </c>
      <c r="M120" s="1" t="s">
        <v>1142</v>
      </c>
      <c r="N120" s="1" t="s">
        <v>1365</v>
      </c>
      <c r="O120" s="1" t="b">
        <v>0</v>
      </c>
      <c r="P120" s="12">
        <v>0.375</v>
      </c>
      <c r="Q120" s="12">
        <v>0.7916666666666666</v>
      </c>
      <c r="R120" s="1" t="s">
        <v>1366</v>
      </c>
      <c r="S120" s="1" t="s">
        <v>1367</v>
      </c>
      <c r="T120" s="1" t="s">
        <v>51</v>
      </c>
      <c r="U120" s="5">
        <v>46071.59921454861</v>
      </c>
    </row>
    <row r="121" ht="15.75" customHeight="1">
      <c r="A121" s="1" t="s">
        <v>32</v>
      </c>
      <c r="B121" s="1" t="s">
        <v>1368</v>
      </c>
      <c r="C121" s="1" t="s">
        <v>1369</v>
      </c>
      <c r="D121" s="1" t="s">
        <v>1370</v>
      </c>
      <c r="E121" s="1" t="s">
        <v>1371</v>
      </c>
      <c r="F121" s="1" t="s">
        <v>1372</v>
      </c>
      <c r="G121" s="1" t="s">
        <v>1373</v>
      </c>
      <c r="H121" s="1" t="s">
        <v>226</v>
      </c>
      <c r="I121" s="1" t="s">
        <v>1375</v>
      </c>
      <c r="J121" s="1" t="s">
        <v>1363</v>
      </c>
      <c r="K121" s="1">
        <v>5.130520558E9</v>
      </c>
      <c r="L121" s="1">
        <v>5.1997254176E10</v>
      </c>
      <c r="M121" s="1" t="s">
        <v>1142</v>
      </c>
      <c r="O121" s="1" t="b">
        <v>0</v>
      </c>
      <c r="P121" s="12">
        <v>0.4166666666666667</v>
      </c>
      <c r="Q121" s="12">
        <v>0.9166666666666666</v>
      </c>
      <c r="R121" s="1" t="s">
        <v>1377</v>
      </c>
      <c r="S121" s="1" t="s">
        <v>1378</v>
      </c>
      <c r="T121" s="1" t="s">
        <v>51</v>
      </c>
      <c r="U121" s="5">
        <v>46072.59921296296</v>
      </c>
    </row>
    <row r="122" ht="15.75" customHeight="1">
      <c r="A122" s="1" t="s">
        <v>32</v>
      </c>
      <c r="B122" s="1" t="s">
        <v>1380</v>
      </c>
      <c r="C122" s="1" t="s">
        <v>1382</v>
      </c>
      <c r="D122" s="1" t="s">
        <v>1383</v>
      </c>
      <c r="E122" s="1" t="s">
        <v>1384</v>
      </c>
      <c r="F122" s="1" t="s">
        <v>1385</v>
      </c>
      <c r="G122" s="1" t="s">
        <v>1360</v>
      </c>
      <c r="H122" s="1" t="s">
        <v>226</v>
      </c>
      <c r="I122" s="1" t="s">
        <v>1386</v>
      </c>
      <c r="J122" s="1" t="s">
        <v>1363</v>
      </c>
      <c r="K122" s="1">
        <v>5.130180851E9</v>
      </c>
      <c r="L122" s="1" t="s">
        <v>1387</v>
      </c>
      <c r="M122" s="1" t="s">
        <v>1142</v>
      </c>
      <c r="O122" s="1" t="b">
        <v>0</v>
      </c>
      <c r="P122" s="12">
        <v>0.375</v>
      </c>
      <c r="Q122" s="12">
        <v>0.7916666666666666</v>
      </c>
      <c r="R122" s="1" t="s">
        <v>1388</v>
      </c>
      <c r="S122" s="1" t="s">
        <v>1390</v>
      </c>
      <c r="T122" s="1" t="s">
        <v>51</v>
      </c>
      <c r="U122" s="5">
        <v>46055.5771187037</v>
      </c>
    </row>
    <row r="123" ht="15.75" customHeight="1">
      <c r="A123" s="1" t="s">
        <v>32</v>
      </c>
      <c r="B123" s="1" t="s">
        <v>1393</v>
      </c>
      <c r="C123" s="1" t="s">
        <v>1394</v>
      </c>
      <c r="D123" s="1" t="s">
        <v>1395</v>
      </c>
      <c r="E123" s="1" t="s">
        <v>1396</v>
      </c>
      <c r="F123" s="1" t="s">
        <v>1359</v>
      </c>
      <c r="G123" s="1" t="s">
        <v>1397</v>
      </c>
      <c r="H123" s="1" t="s">
        <v>226</v>
      </c>
      <c r="I123" s="1" t="s">
        <v>1398</v>
      </c>
      <c r="J123" s="1" t="s">
        <v>1399</v>
      </c>
      <c r="K123" s="1">
        <v>5.130747046E9</v>
      </c>
      <c r="L123" s="1" t="s">
        <v>1400</v>
      </c>
      <c r="M123" s="1" t="s">
        <v>1142</v>
      </c>
      <c r="O123" s="1" t="b">
        <v>0</v>
      </c>
      <c r="P123" s="12">
        <v>0.375</v>
      </c>
      <c r="Q123" s="12">
        <v>0.7916666666666666</v>
      </c>
      <c r="R123" s="1" t="s">
        <v>1401</v>
      </c>
      <c r="S123" s="1" t="s">
        <v>1402</v>
      </c>
      <c r="T123" s="1" t="s">
        <v>51</v>
      </c>
      <c r="U123" s="5">
        <v>46071.59964467592</v>
      </c>
    </row>
    <row r="124" ht="15.75" customHeight="1">
      <c r="A124" s="1" t="s">
        <v>32</v>
      </c>
      <c r="B124" s="1" t="s">
        <v>1403</v>
      </c>
      <c r="C124" s="1" t="s">
        <v>1404</v>
      </c>
      <c r="D124" s="1" t="s">
        <v>1405</v>
      </c>
      <c r="E124" s="1" t="s">
        <v>1406</v>
      </c>
      <c r="F124" s="1" t="s">
        <v>1359</v>
      </c>
      <c r="G124" s="1" t="s">
        <v>1407</v>
      </c>
      <c r="H124" s="1" t="s">
        <v>226</v>
      </c>
      <c r="I124" s="1" t="s">
        <v>1408</v>
      </c>
      <c r="J124" s="1" t="s">
        <v>1363</v>
      </c>
      <c r="K124" s="1">
        <v>5.130428667E9</v>
      </c>
      <c r="L124" s="1" t="s">
        <v>1409</v>
      </c>
      <c r="M124" s="1" t="s">
        <v>1142</v>
      </c>
      <c r="O124" s="1" t="b">
        <v>0</v>
      </c>
      <c r="P124" s="12">
        <v>0.375</v>
      </c>
      <c r="Q124" s="12">
        <v>0.7916666666666666</v>
      </c>
      <c r="R124" s="1" t="s">
        <v>1411</v>
      </c>
      <c r="S124" s="1" t="s">
        <v>1412</v>
      </c>
      <c r="T124" s="1" t="s">
        <v>51</v>
      </c>
      <c r="U124" s="5">
        <v>46071.59997709491</v>
      </c>
    </row>
    <row r="125" ht="15.75" customHeight="1">
      <c r="A125" s="1" t="s">
        <v>32</v>
      </c>
      <c r="B125" s="1" t="s">
        <v>1413</v>
      </c>
      <c r="C125" s="1" t="s">
        <v>1414</v>
      </c>
      <c r="D125" s="1" t="s">
        <v>1415</v>
      </c>
      <c r="E125" s="1" t="s">
        <v>1417</v>
      </c>
      <c r="F125" s="1" t="s">
        <v>1359</v>
      </c>
      <c r="G125" s="1" t="s">
        <v>1418</v>
      </c>
      <c r="H125" s="1" t="s">
        <v>226</v>
      </c>
      <c r="I125" s="1" t="s">
        <v>1419</v>
      </c>
      <c r="J125" s="1" t="s">
        <v>1363</v>
      </c>
      <c r="K125" s="1">
        <v>5.130440145E9</v>
      </c>
      <c r="L125" s="1" t="s">
        <v>1421</v>
      </c>
      <c r="M125" s="1" t="s">
        <v>1142</v>
      </c>
      <c r="O125" s="1" t="b">
        <v>0</v>
      </c>
      <c r="P125" s="12">
        <v>0.375</v>
      </c>
      <c r="Q125" s="12">
        <v>0.7916666666666666</v>
      </c>
      <c r="R125" s="1" t="s">
        <v>1423</v>
      </c>
      <c r="S125" s="1" t="s">
        <v>1424</v>
      </c>
      <c r="T125" s="1" t="s">
        <v>51</v>
      </c>
      <c r="U125" s="5">
        <v>46071.7158290162</v>
      </c>
    </row>
    <row r="126" ht="15.75" customHeight="1">
      <c r="A126" s="1" t="s">
        <v>32</v>
      </c>
      <c r="B126" s="1" t="s">
        <v>1425</v>
      </c>
      <c r="C126" s="1" t="s">
        <v>1426</v>
      </c>
      <c r="D126" s="1" t="s">
        <v>1427</v>
      </c>
      <c r="E126" s="1" t="s">
        <v>1429</v>
      </c>
      <c r="F126" s="1" t="s">
        <v>1430</v>
      </c>
      <c r="G126" s="1" t="s">
        <v>1360</v>
      </c>
      <c r="H126" s="1" t="s">
        <v>226</v>
      </c>
      <c r="I126" s="1" t="s">
        <v>1431</v>
      </c>
      <c r="J126" s="1" t="s">
        <v>1363</v>
      </c>
      <c r="K126" s="1">
        <v>5.130180852E9</v>
      </c>
      <c r="L126" s="1" t="s">
        <v>1432</v>
      </c>
      <c r="M126" s="1" t="s">
        <v>1142</v>
      </c>
      <c r="O126" s="1" t="b">
        <v>0</v>
      </c>
      <c r="P126" s="12">
        <v>0.4166666666666667</v>
      </c>
      <c r="Q126" s="12">
        <v>0.9166666666666666</v>
      </c>
      <c r="R126" s="1" t="s">
        <v>1433</v>
      </c>
      <c r="S126" s="1" t="s">
        <v>1434</v>
      </c>
      <c r="T126" s="1" t="s">
        <v>51</v>
      </c>
      <c r="U126" s="5">
        <v>46071.60174903935</v>
      </c>
    </row>
    <row r="127" ht="15.75" customHeight="1">
      <c r="A127" s="1" t="s">
        <v>32</v>
      </c>
      <c r="B127" s="1" t="s">
        <v>1435</v>
      </c>
      <c r="C127" s="1" t="s">
        <v>1436</v>
      </c>
      <c r="D127" s="1" t="s">
        <v>1437</v>
      </c>
      <c r="E127" s="1" t="s">
        <v>1438</v>
      </c>
      <c r="F127" s="1" t="s">
        <v>1439</v>
      </c>
      <c r="G127" s="1" t="s">
        <v>1360</v>
      </c>
      <c r="H127" s="1" t="s">
        <v>226</v>
      </c>
      <c r="I127" s="1" t="s">
        <v>1440</v>
      </c>
      <c r="J127" s="1" t="s">
        <v>1363</v>
      </c>
      <c r="K127" s="1">
        <v>5.130180853E9</v>
      </c>
      <c r="L127" s="1">
        <v>5.1996657114E10</v>
      </c>
      <c r="M127" s="1" t="s">
        <v>1142</v>
      </c>
      <c r="O127" s="1" t="b">
        <v>0</v>
      </c>
      <c r="P127" s="12">
        <v>0.4166666666666667</v>
      </c>
      <c r="Q127" s="12">
        <v>0.9166666666666666</v>
      </c>
      <c r="R127" s="1" t="s">
        <v>1443</v>
      </c>
      <c r="S127" s="1" t="s">
        <v>1444</v>
      </c>
      <c r="T127" s="1" t="s">
        <v>51</v>
      </c>
      <c r="U127" s="5">
        <v>46072.60174768518</v>
      </c>
    </row>
    <row r="128" ht="15.75" customHeight="1">
      <c r="A128" s="1" t="s">
        <v>32</v>
      </c>
      <c r="B128" s="1" t="s">
        <v>1445</v>
      </c>
      <c r="C128" s="1" t="s">
        <v>1446</v>
      </c>
      <c r="D128" s="1" t="s">
        <v>1447</v>
      </c>
      <c r="E128" s="1" t="s">
        <v>1448</v>
      </c>
      <c r="F128" s="1" t="s">
        <v>1359</v>
      </c>
      <c r="G128" s="1" t="s">
        <v>1360</v>
      </c>
      <c r="H128" s="1" t="s">
        <v>226</v>
      </c>
      <c r="I128" s="1" t="s">
        <v>1449</v>
      </c>
      <c r="J128" s="1" t="s">
        <v>1363</v>
      </c>
      <c r="K128" s="1">
        <v>5.130180854E9</v>
      </c>
      <c r="L128" s="1" t="s">
        <v>1450</v>
      </c>
      <c r="M128" s="1" t="s">
        <v>1142</v>
      </c>
      <c r="O128" s="1" t="b">
        <v>0</v>
      </c>
      <c r="P128" s="12">
        <v>0.375</v>
      </c>
      <c r="Q128" s="12">
        <v>0.7916666666666666</v>
      </c>
      <c r="R128" s="1" t="s">
        <v>1451</v>
      </c>
      <c r="S128" s="1" t="s">
        <v>1452</v>
      </c>
      <c r="T128" s="1" t="s">
        <v>51</v>
      </c>
      <c r="U128" s="5">
        <v>46071.71613653935</v>
      </c>
    </row>
    <row r="129" ht="15.75" customHeight="1">
      <c r="A129" s="1" t="s">
        <v>32</v>
      </c>
      <c r="B129" s="1" t="s">
        <v>1453</v>
      </c>
      <c r="C129" s="1">
        <v>9.2310001E7</v>
      </c>
      <c r="D129" s="1" t="s">
        <v>1454</v>
      </c>
      <c r="E129" s="1" t="s">
        <v>1455</v>
      </c>
      <c r="F129" s="1" t="s">
        <v>1359</v>
      </c>
      <c r="G129" s="1" t="s">
        <v>1373</v>
      </c>
      <c r="H129" s="1" t="s">
        <v>226</v>
      </c>
      <c r="I129" s="1" t="s">
        <v>1456</v>
      </c>
      <c r="J129" s="1" t="s">
        <v>1363</v>
      </c>
      <c r="K129" s="1">
        <v>5.130520559E9</v>
      </c>
      <c r="L129" s="1">
        <v>5.199840634E10</v>
      </c>
      <c r="M129" s="1" t="s">
        <v>1142</v>
      </c>
      <c r="O129" s="1" t="b">
        <v>0</v>
      </c>
      <c r="P129" s="12">
        <v>0.4166666666666667</v>
      </c>
      <c r="Q129" s="12">
        <v>0.9166666666666666</v>
      </c>
      <c r="R129" s="1" t="s">
        <v>1458</v>
      </c>
      <c r="S129" s="1" t="s">
        <v>1459</v>
      </c>
      <c r="T129" s="1" t="s">
        <v>51</v>
      </c>
      <c r="U129" s="5">
        <v>46072.71613425926</v>
      </c>
    </row>
    <row r="130" ht="15.75" customHeight="1">
      <c r="A130" s="1" t="s">
        <v>32</v>
      </c>
      <c r="B130" s="1" t="s">
        <v>1462</v>
      </c>
      <c r="C130" s="1" t="s">
        <v>1463</v>
      </c>
      <c r="D130" s="1" t="s">
        <v>1464</v>
      </c>
      <c r="E130" s="1" t="s">
        <v>1465</v>
      </c>
      <c r="F130" s="1" t="s">
        <v>1466</v>
      </c>
      <c r="G130" s="1" t="s">
        <v>1360</v>
      </c>
      <c r="H130" s="1" t="s">
        <v>226</v>
      </c>
      <c r="I130" s="1" t="s">
        <v>1467</v>
      </c>
      <c r="J130" s="1" t="s">
        <v>1399</v>
      </c>
      <c r="K130" s="1">
        <v>5.130180855E9</v>
      </c>
      <c r="L130" s="1" t="s">
        <v>1469</v>
      </c>
      <c r="M130" s="1" t="s">
        <v>1142</v>
      </c>
      <c r="O130" s="1" t="b">
        <v>0</v>
      </c>
      <c r="P130" s="12">
        <v>0.4166666666666667</v>
      </c>
      <c r="Q130" s="12">
        <v>0.9166666666666666</v>
      </c>
      <c r="R130" s="1" t="s">
        <v>1470</v>
      </c>
      <c r="S130" s="1" t="s">
        <v>1472</v>
      </c>
      <c r="T130" s="1" t="s">
        <v>51</v>
      </c>
      <c r="U130" s="5">
        <v>46072.69880100695</v>
      </c>
    </row>
    <row r="131" ht="15.75" customHeight="1">
      <c r="A131" s="1" t="s">
        <v>32</v>
      </c>
      <c r="B131" s="1" t="s">
        <v>1474</v>
      </c>
      <c r="C131" s="1">
        <v>9.3320021E7</v>
      </c>
      <c r="D131" s="1" t="s">
        <v>1475</v>
      </c>
      <c r="E131" s="1" t="s">
        <v>1476</v>
      </c>
      <c r="F131" s="1" t="s">
        <v>1385</v>
      </c>
      <c r="G131" s="1" t="s">
        <v>1477</v>
      </c>
      <c r="H131" s="1" t="s">
        <v>226</v>
      </c>
      <c r="I131" s="1" t="s">
        <v>1478</v>
      </c>
      <c r="J131" s="1" t="s">
        <v>1363</v>
      </c>
      <c r="K131" s="1">
        <v>5.130378299E9</v>
      </c>
      <c r="L131" s="1">
        <v>5.1998164285E10</v>
      </c>
      <c r="M131" s="1" t="s">
        <v>1142</v>
      </c>
      <c r="O131" s="1" t="b">
        <v>0</v>
      </c>
      <c r="P131" s="12">
        <v>0.4166666666666667</v>
      </c>
      <c r="Q131" s="12">
        <v>0.9166666666666666</v>
      </c>
      <c r="R131" s="1" t="s">
        <v>1480</v>
      </c>
      <c r="S131" s="1" t="s">
        <v>1481</v>
      </c>
      <c r="T131" s="1" t="s">
        <v>51</v>
      </c>
      <c r="U131" s="5">
        <v>46073.6987962963</v>
      </c>
    </row>
    <row r="132" ht="15.75" customHeight="1">
      <c r="A132" s="1" t="s">
        <v>32</v>
      </c>
      <c r="B132" s="1" t="s">
        <v>1482</v>
      </c>
      <c r="C132" s="1">
        <v>9.1340001E7</v>
      </c>
      <c r="D132" s="1" t="s">
        <v>1484</v>
      </c>
      <c r="E132" s="1" t="s">
        <v>1485</v>
      </c>
      <c r="F132" s="1" t="s">
        <v>1486</v>
      </c>
      <c r="G132" s="1" t="s">
        <v>1360</v>
      </c>
      <c r="H132" s="1" t="s">
        <v>226</v>
      </c>
      <c r="I132" s="1" t="s">
        <v>1487</v>
      </c>
      <c r="J132" s="1" t="s">
        <v>1399</v>
      </c>
      <c r="K132" s="1">
        <v>5.130180856E9</v>
      </c>
      <c r="L132" s="1" t="s">
        <v>1488</v>
      </c>
      <c r="M132" s="1" t="s">
        <v>1142</v>
      </c>
      <c r="O132" s="1" t="b">
        <v>0</v>
      </c>
      <c r="P132" s="12">
        <v>0.4166666666666667</v>
      </c>
      <c r="Q132" s="12">
        <v>0.9166666666666666</v>
      </c>
      <c r="R132" s="1" t="s">
        <v>1490</v>
      </c>
      <c r="S132" s="1" t="s">
        <v>1493</v>
      </c>
      <c r="T132" s="1" t="s">
        <v>51</v>
      </c>
      <c r="U132" s="5">
        <v>46052.63478254629</v>
      </c>
    </row>
    <row r="133" ht="15.75" customHeight="1">
      <c r="A133" s="1" t="s">
        <v>32</v>
      </c>
      <c r="B133" s="1" t="s">
        <v>1497</v>
      </c>
      <c r="C133" s="1">
        <v>9.2310001E7</v>
      </c>
      <c r="D133" s="1" t="s">
        <v>1500</v>
      </c>
      <c r="E133" s="1" t="s">
        <v>1455</v>
      </c>
      <c r="F133" s="1" t="s">
        <v>1359</v>
      </c>
      <c r="G133" s="1" t="s">
        <v>1373</v>
      </c>
      <c r="H133" s="1" t="s">
        <v>226</v>
      </c>
      <c r="I133" s="1" t="s">
        <v>1504</v>
      </c>
      <c r="J133" s="1" t="s">
        <v>1399</v>
      </c>
      <c r="K133" s="1">
        <v>5.13052056E9</v>
      </c>
      <c r="L133" s="1">
        <v>5.1998470492E10</v>
      </c>
      <c r="M133" s="1" t="s">
        <v>1142</v>
      </c>
      <c r="O133" s="1" t="b">
        <v>0</v>
      </c>
      <c r="P133" s="12">
        <v>0.4166666666666667</v>
      </c>
      <c r="Q133" s="12">
        <v>0.9166666666666666</v>
      </c>
      <c r="R133" s="1" t="s">
        <v>1506</v>
      </c>
      <c r="S133" s="1" t="s">
        <v>1507</v>
      </c>
      <c r="T133" s="1" t="s">
        <v>51</v>
      </c>
      <c r="U133" s="5">
        <v>46053.63478009259</v>
      </c>
    </row>
    <row r="134" ht="15.75" customHeight="1">
      <c r="A134" s="1" t="s">
        <v>32</v>
      </c>
      <c r="B134" s="1" t="s">
        <v>1509</v>
      </c>
      <c r="C134" s="1" t="s">
        <v>1510</v>
      </c>
      <c r="D134" s="1" t="s">
        <v>1511</v>
      </c>
      <c r="E134" s="1" t="s">
        <v>1512</v>
      </c>
      <c r="F134" s="1" t="s">
        <v>1359</v>
      </c>
      <c r="G134" s="1" t="s">
        <v>1513</v>
      </c>
      <c r="H134" s="1" t="s">
        <v>240</v>
      </c>
      <c r="I134" s="1" t="s">
        <v>1514</v>
      </c>
      <c r="J134" s="1" t="s">
        <v>1399</v>
      </c>
      <c r="K134" s="1">
        <v>4.730509137E9</v>
      </c>
      <c r="L134" s="1">
        <v>4.7992908323E10</v>
      </c>
      <c r="M134" s="1" t="s">
        <v>1142</v>
      </c>
      <c r="O134" s="1" t="b">
        <v>0</v>
      </c>
      <c r="P134" s="12">
        <v>0.4166666666666667</v>
      </c>
      <c r="Q134" s="12">
        <v>0.9166666666666666</v>
      </c>
      <c r="R134" s="1" t="s">
        <v>1515</v>
      </c>
      <c r="S134" s="1" t="s">
        <v>1516</v>
      </c>
      <c r="T134" s="1" t="s">
        <v>51</v>
      </c>
      <c r="U134" s="5">
        <v>46054.63478009259</v>
      </c>
    </row>
    <row r="135" ht="15.75" customHeight="1">
      <c r="A135" s="1" t="s">
        <v>32</v>
      </c>
      <c r="B135" s="1" t="s">
        <v>1517</v>
      </c>
      <c r="C135" s="1" t="s">
        <v>1518</v>
      </c>
      <c r="D135" s="1" t="s">
        <v>1520</v>
      </c>
      <c r="E135" s="1" t="s">
        <v>1522</v>
      </c>
      <c r="F135" s="1" t="s">
        <v>1359</v>
      </c>
      <c r="G135" s="1" t="s">
        <v>1523</v>
      </c>
      <c r="H135" s="1" t="s">
        <v>226</v>
      </c>
      <c r="I135" s="1" t="s">
        <v>1524</v>
      </c>
      <c r="J135" s="1" t="s">
        <v>1399</v>
      </c>
      <c r="K135" s="1">
        <v>5.430929004E9</v>
      </c>
      <c r="L135" s="1" t="s">
        <v>1525</v>
      </c>
      <c r="M135" s="1" t="s">
        <v>1142</v>
      </c>
      <c r="O135" s="1" t="b">
        <v>0</v>
      </c>
      <c r="P135" s="12">
        <v>0.4166666666666667</v>
      </c>
      <c r="Q135" s="12">
        <v>0.9166666666666666</v>
      </c>
      <c r="R135" s="1" t="s">
        <v>1527</v>
      </c>
      <c r="S135" s="1" t="s">
        <v>1528</v>
      </c>
      <c r="T135" s="1" t="s">
        <v>51</v>
      </c>
      <c r="U135" s="5">
        <v>46077.49257960648</v>
      </c>
    </row>
    <row r="136" ht="15.75" customHeight="1">
      <c r="A136" s="1" t="s">
        <v>32</v>
      </c>
      <c r="B136" s="1" t="s">
        <v>1530</v>
      </c>
      <c r="C136" s="1" t="s">
        <v>1369</v>
      </c>
      <c r="D136" s="1" t="s">
        <v>1532</v>
      </c>
      <c r="E136" s="1" t="s">
        <v>1371</v>
      </c>
      <c r="F136" s="1" t="s">
        <v>1533</v>
      </c>
      <c r="G136" s="1" t="s">
        <v>1534</v>
      </c>
      <c r="H136" s="1" t="s">
        <v>226</v>
      </c>
      <c r="I136" s="1" t="s">
        <v>1535</v>
      </c>
      <c r="J136" s="1" t="s">
        <v>1399</v>
      </c>
      <c r="L136" s="1" t="s">
        <v>1536</v>
      </c>
      <c r="M136" s="1" t="s">
        <v>1142</v>
      </c>
      <c r="O136" s="1" t="b">
        <v>0</v>
      </c>
      <c r="P136" s="12">
        <v>0.4166666666666667</v>
      </c>
      <c r="Q136" s="12">
        <v>0.9166666666666666</v>
      </c>
      <c r="R136" s="1" t="s">
        <v>1537</v>
      </c>
      <c r="S136" s="1" t="s">
        <v>1538</v>
      </c>
      <c r="T136" s="1" t="s">
        <v>51</v>
      </c>
      <c r="U136" s="5">
        <v>46107.48335761574</v>
      </c>
    </row>
    <row r="137" ht="15.75" customHeight="1">
      <c r="A137" s="1" t="s">
        <v>32</v>
      </c>
      <c r="B137" s="1" t="s">
        <v>1539</v>
      </c>
      <c r="C137" s="1" t="s">
        <v>1540</v>
      </c>
      <c r="D137" s="1" t="s">
        <v>1541</v>
      </c>
      <c r="E137" s="1" t="s">
        <v>1542</v>
      </c>
      <c r="F137" s="1" t="s">
        <v>1543</v>
      </c>
      <c r="G137" s="1" t="s">
        <v>1544</v>
      </c>
      <c r="H137" s="1" t="s">
        <v>240</v>
      </c>
      <c r="I137" s="1" t="s">
        <v>1545</v>
      </c>
      <c r="J137" s="1" t="s">
        <v>1363</v>
      </c>
      <c r="K137" s="1">
        <v>4.830252021E9</v>
      </c>
      <c r="L137" s="1" t="s">
        <v>1546</v>
      </c>
      <c r="M137" s="1" t="s">
        <v>1142</v>
      </c>
      <c r="O137" s="1" t="b">
        <v>0</v>
      </c>
      <c r="P137" s="12">
        <v>0.4166666666666667</v>
      </c>
      <c r="Q137" s="12">
        <v>0.9166666666666666</v>
      </c>
      <c r="R137" s="1" t="s">
        <v>1547</v>
      </c>
      <c r="S137" s="1" t="s">
        <v>1548</v>
      </c>
      <c r="T137" s="1" t="s">
        <v>51</v>
      </c>
      <c r="U137" s="5">
        <v>46078.65261178241</v>
      </c>
    </row>
    <row r="138" ht="15.75" customHeight="1">
      <c r="A138" s="1" t="s">
        <v>32</v>
      </c>
      <c r="B138" s="1" t="s">
        <v>1549</v>
      </c>
      <c r="C138" s="1" t="s">
        <v>1550</v>
      </c>
      <c r="D138" s="1" t="s">
        <v>1551</v>
      </c>
      <c r="E138" s="1" t="s">
        <v>1552</v>
      </c>
      <c r="F138" s="1" t="s">
        <v>1359</v>
      </c>
      <c r="G138" s="1" t="s">
        <v>1553</v>
      </c>
      <c r="H138" s="1" t="s">
        <v>240</v>
      </c>
      <c r="I138" s="1" t="s">
        <v>1555</v>
      </c>
      <c r="J138" s="1" t="s">
        <v>1399</v>
      </c>
      <c r="K138" s="1">
        <v>4.730276305E9</v>
      </c>
      <c r="L138" s="1" t="s">
        <v>1556</v>
      </c>
      <c r="M138" s="1" t="s">
        <v>1142</v>
      </c>
      <c r="O138" s="1" t="b">
        <v>0</v>
      </c>
      <c r="P138" s="12">
        <v>0.4166666666666667</v>
      </c>
      <c r="Q138" s="12">
        <v>0.9166666666666666</v>
      </c>
      <c r="R138" s="1" t="s">
        <v>1557</v>
      </c>
      <c r="S138" s="1" t="s">
        <v>1558</v>
      </c>
      <c r="T138" s="1" t="s">
        <v>51</v>
      </c>
      <c r="U138" s="5">
        <v>46078.65232520834</v>
      </c>
    </row>
    <row r="139" ht="15.75" customHeight="1">
      <c r="A139" s="1" t="s">
        <v>32</v>
      </c>
      <c r="B139" s="1" t="s">
        <v>1559</v>
      </c>
      <c r="C139" s="1">
        <v>9.081008E7</v>
      </c>
      <c r="D139" s="1" t="s">
        <v>1561</v>
      </c>
      <c r="E139" s="1" t="s">
        <v>1562</v>
      </c>
      <c r="F139" s="1" t="s">
        <v>1563</v>
      </c>
      <c r="G139" s="1" t="s">
        <v>1360</v>
      </c>
      <c r="H139" s="1" t="s">
        <v>226</v>
      </c>
      <c r="I139" s="1" t="s">
        <v>1564</v>
      </c>
      <c r="J139" s="1" t="s">
        <v>1363</v>
      </c>
      <c r="K139" s="1">
        <v>5.130180857E9</v>
      </c>
      <c r="L139" s="1">
        <v>5.1997530025E10</v>
      </c>
      <c r="M139" s="1" t="s">
        <v>1142</v>
      </c>
      <c r="O139" s="1" t="b">
        <v>0</v>
      </c>
      <c r="P139" s="12">
        <v>0.4166666666666667</v>
      </c>
      <c r="Q139" s="12">
        <v>0.9166666666666666</v>
      </c>
      <c r="R139" s="1" t="s">
        <v>1566</v>
      </c>
      <c r="S139" s="1" t="s">
        <v>1568</v>
      </c>
      <c r="T139" s="1" t="s">
        <v>51</v>
      </c>
      <c r="U139" s="5">
        <v>46079.65232638889</v>
      </c>
    </row>
    <row r="140" ht="15.75" customHeight="1">
      <c r="A140" s="1" t="s">
        <v>32</v>
      </c>
      <c r="B140" s="1" t="s">
        <v>1569</v>
      </c>
      <c r="C140" s="1">
        <v>9.081008E7</v>
      </c>
      <c r="D140" s="1" t="s">
        <v>1570</v>
      </c>
      <c r="E140" s="1" t="s">
        <v>1562</v>
      </c>
      <c r="F140" s="1" t="s">
        <v>1563</v>
      </c>
      <c r="G140" s="1" t="s">
        <v>1360</v>
      </c>
      <c r="H140" s="1" t="s">
        <v>226</v>
      </c>
      <c r="I140" s="1" t="s">
        <v>1571</v>
      </c>
      <c r="J140" s="1" t="s">
        <v>1399</v>
      </c>
      <c r="K140" s="1">
        <v>5.130180858E9</v>
      </c>
      <c r="L140" s="1">
        <v>5.1997526192E10</v>
      </c>
      <c r="M140" s="1" t="s">
        <v>1142</v>
      </c>
      <c r="O140" s="1" t="b">
        <v>0</v>
      </c>
      <c r="P140" s="12">
        <v>0.4166666666666667</v>
      </c>
      <c r="Q140" s="12">
        <v>0.9166666666666666</v>
      </c>
      <c r="R140" s="1" t="s">
        <v>1572</v>
      </c>
      <c r="S140" s="1" t="s">
        <v>1573</v>
      </c>
      <c r="T140" s="1" t="s">
        <v>51</v>
      </c>
      <c r="U140" s="5">
        <v>46080.65232638889</v>
      </c>
    </row>
    <row r="141" ht="15.75" customHeight="1">
      <c r="A141" s="1" t="s">
        <v>32</v>
      </c>
      <c r="B141" s="1" t="s">
        <v>1575</v>
      </c>
      <c r="C141" s="1" t="s">
        <v>1576</v>
      </c>
      <c r="D141" s="1" t="s">
        <v>1577</v>
      </c>
      <c r="E141" s="1" t="s">
        <v>1579</v>
      </c>
      <c r="F141" s="1" t="s">
        <v>1359</v>
      </c>
      <c r="G141" s="1" t="s">
        <v>1580</v>
      </c>
      <c r="H141" s="1" t="s">
        <v>226</v>
      </c>
      <c r="I141" s="1" t="s">
        <v>1581</v>
      </c>
      <c r="J141" s="1" t="s">
        <v>1399</v>
      </c>
      <c r="K141" s="1">
        <v>5.430226457E9</v>
      </c>
      <c r="L141" s="1" t="s">
        <v>1582</v>
      </c>
      <c r="M141" s="1" t="s">
        <v>1142</v>
      </c>
      <c r="O141" s="1" t="b">
        <v>0</v>
      </c>
      <c r="P141" s="12">
        <v>0.4166666666666667</v>
      </c>
      <c r="Q141" s="12">
        <v>0.9166666666666666</v>
      </c>
      <c r="R141" s="1" t="s">
        <v>1585</v>
      </c>
      <c r="S141" s="1" t="s">
        <v>1586</v>
      </c>
      <c r="T141" s="1" t="s">
        <v>51</v>
      </c>
      <c r="U141" s="5">
        <v>46055.57784466435</v>
      </c>
    </row>
    <row r="142" ht="15.75" customHeight="1">
      <c r="A142" s="1" t="s">
        <v>32</v>
      </c>
      <c r="B142" s="1" t="s">
        <v>1587</v>
      </c>
      <c r="C142" s="1" t="s">
        <v>1446</v>
      </c>
      <c r="D142" s="1" t="s">
        <v>1588</v>
      </c>
      <c r="E142" s="1" t="s">
        <v>1589</v>
      </c>
      <c r="F142" s="1" t="s">
        <v>1590</v>
      </c>
      <c r="G142" s="1" t="s">
        <v>1360</v>
      </c>
      <c r="H142" s="1" t="s">
        <v>226</v>
      </c>
      <c r="I142" s="1" t="s">
        <v>1592</v>
      </c>
      <c r="J142" s="1" t="s">
        <v>1399</v>
      </c>
      <c r="K142" s="1">
        <v>5.130180876E9</v>
      </c>
      <c r="L142" s="1">
        <v>5.1997436525E10</v>
      </c>
      <c r="M142" s="1" t="s">
        <v>1142</v>
      </c>
      <c r="O142" s="1" t="b">
        <v>0</v>
      </c>
      <c r="P142" s="12">
        <v>0.375</v>
      </c>
      <c r="Q142" s="12">
        <v>0.8333333333333334</v>
      </c>
      <c r="R142" s="1" t="s">
        <v>1593</v>
      </c>
      <c r="S142" s="1" t="s">
        <v>1594</v>
      </c>
      <c r="T142" s="1" t="s">
        <v>51</v>
      </c>
      <c r="U142" s="5">
        <v>46056.57784722222</v>
      </c>
    </row>
    <row r="143" ht="15.75" customHeight="1">
      <c r="A143" s="1" t="s">
        <v>32</v>
      </c>
      <c r="B143" s="1" t="s">
        <v>1597</v>
      </c>
      <c r="C143" s="1" t="s">
        <v>1598</v>
      </c>
      <c r="D143" s="1" t="s">
        <v>1599</v>
      </c>
      <c r="E143" s="1" t="s">
        <v>1600</v>
      </c>
      <c r="F143" s="1" t="s">
        <v>1601</v>
      </c>
      <c r="G143" s="1" t="s">
        <v>1602</v>
      </c>
      <c r="H143" s="1" t="s">
        <v>240</v>
      </c>
      <c r="I143" s="1" t="s">
        <v>1603</v>
      </c>
      <c r="J143" s="1" t="s">
        <v>1363</v>
      </c>
      <c r="K143" s="1">
        <v>4.730188006E9</v>
      </c>
      <c r="L143" s="1">
        <v>4.8991261323E10</v>
      </c>
      <c r="M143" s="1" t="s">
        <v>1142</v>
      </c>
      <c r="O143" s="1" t="b">
        <v>0</v>
      </c>
      <c r="P143" s="12">
        <v>0.4166666666666667</v>
      </c>
      <c r="Q143" s="12">
        <v>0.9166666666666666</v>
      </c>
      <c r="R143" s="1" t="s">
        <v>1604</v>
      </c>
      <c r="S143" s="1" t="s">
        <v>1605</v>
      </c>
      <c r="T143" s="1" t="s">
        <v>51</v>
      </c>
      <c r="U143" s="5">
        <v>46057.57784722222</v>
      </c>
    </row>
    <row r="144" ht="15.75" customHeight="1">
      <c r="A144" s="1" t="s">
        <v>32</v>
      </c>
      <c r="B144" s="1" t="s">
        <v>1606</v>
      </c>
      <c r="C144" s="1" t="s">
        <v>1607</v>
      </c>
      <c r="D144" s="1" t="s">
        <v>1608</v>
      </c>
      <c r="E144" s="1" t="s">
        <v>1609</v>
      </c>
      <c r="F144" s="1" t="s">
        <v>1610</v>
      </c>
      <c r="G144" s="1" t="s">
        <v>1611</v>
      </c>
      <c r="H144" s="1" t="s">
        <v>226</v>
      </c>
      <c r="I144" s="1" t="s">
        <v>1613</v>
      </c>
      <c r="J144" s="1" t="s">
        <v>1399</v>
      </c>
      <c r="K144" s="1">
        <v>5.530250005E9</v>
      </c>
      <c r="L144" s="1" t="s">
        <v>1616</v>
      </c>
      <c r="M144" s="1" t="s">
        <v>1142</v>
      </c>
      <c r="O144" s="1" t="b">
        <v>0</v>
      </c>
      <c r="P144" s="12">
        <v>0.4166666666666667</v>
      </c>
      <c r="Q144" s="12">
        <v>0.9166666666666666</v>
      </c>
      <c r="R144" s="1" t="s">
        <v>1617</v>
      </c>
      <c r="S144" s="1" t="s">
        <v>1619</v>
      </c>
      <c r="T144" s="1" t="s">
        <v>51</v>
      </c>
      <c r="U144" s="5">
        <v>46078.65349277778</v>
      </c>
    </row>
    <row r="145" ht="15.75" customHeight="1">
      <c r="A145" s="1" t="s">
        <v>32</v>
      </c>
      <c r="B145" s="1" t="s">
        <v>1620</v>
      </c>
      <c r="C145" s="1" t="s">
        <v>1621</v>
      </c>
      <c r="D145" s="1" t="s">
        <v>1622</v>
      </c>
      <c r="E145" s="1" t="s">
        <v>1623</v>
      </c>
      <c r="F145" s="1" t="s">
        <v>1624</v>
      </c>
      <c r="G145" s="1" t="s">
        <v>1553</v>
      </c>
      <c r="H145" s="1" t="s">
        <v>240</v>
      </c>
      <c r="I145" s="1" t="s">
        <v>1626</v>
      </c>
      <c r="J145" s="1" t="s">
        <v>1363</v>
      </c>
      <c r="K145" s="1">
        <v>4.730276306E9</v>
      </c>
      <c r="L145" s="1">
        <v>4.7991797141E10</v>
      </c>
      <c r="M145" s="1" t="s">
        <v>1142</v>
      </c>
      <c r="O145" s="1" t="b">
        <v>0</v>
      </c>
      <c r="P145" s="12">
        <v>0.4166666666666667</v>
      </c>
      <c r="Q145" s="12">
        <v>0.9166666666666666</v>
      </c>
      <c r="R145" s="1" t="s">
        <v>1628</v>
      </c>
      <c r="S145" s="1" t="s">
        <v>1629</v>
      </c>
      <c r="T145" s="1" t="s">
        <v>51</v>
      </c>
      <c r="U145" s="5">
        <v>46079.65349537037</v>
      </c>
    </row>
    <row r="146" ht="15.75" customHeight="1">
      <c r="A146" s="1" t="s">
        <v>32</v>
      </c>
      <c r="B146" s="1" t="s">
        <v>1630</v>
      </c>
      <c r="C146" s="1">
        <v>9.113072E7</v>
      </c>
      <c r="D146" s="1" t="s">
        <v>1631</v>
      </c>
      <c r="E146" s="1" t="s">
        <v>1632</v>
      </c>
      <c r="F146" s="1" t="s">
        <v>1633</v>
      </c>
      <c r="G146" s="1" t="s">
        <v>1360</v>
      </c>
      <c r="H146" s="1" t="s">
        <v>226</v>
      </c>
      <c r="I146" s="1" t="s">
        <v>1634</v>
      </c>
      <c r="J146" s="1" t="s">
        <v>1363</v>
      </c>
      <c r="K146" s="1">
        <v>5.13018086E9</v>
      </c>
      <c r="L146" s="1" t="s">
        <v>1635</v>
      </c>
      <c r="M146" s="1" t="s">
        <v>1142</v>
      </c>
      <c r="O146" s="1" t="b">
        <v>0</v>
      </c>
      <c r="P146" s="12">
        <v>0.4166666666666667</v>
      </c>
      <c r="Q146" s="12">
        <v>0.9166666666666666</v>
      </c>
      <c r="R146" s="1" t="s">
        <v>1637</v>
      </c>
      <c r="S146" s="1" t="s">
        <v>1638</v>
      </c>
      <c r="T146" s="1" t="s">
        <v>51</v>
      </c>
      <c r="U146" s="5">
        <v>46078.65404096065</v>
      </c>
    </row>
    <row r="147" ht="15.75" customHeight="1">
      <c r="A147" s="1" t="s">
        <v>32</v>
      </c>
      <c r="B147" s="1" t="s">
        <v>1640</v>
      </c>
      <c r="C147" s="1" t="s">
        <v>1641</v>
      </c>
      <c r="D147" s="1" t="s">
        <v>1642</v>
      </c>
      <c r="E147" s="1" t="s">
        <v>1643</v>
      </c>
      <c r="F147" s="1" t="s">
        <v>1644</v>
      </c>
      <c r="G147" s="1" t="s">
        <v>1360</v>
      </c>
      <c r="H147" s="1" t="s">
        <v>226</v>
      </c>
      <c r="I147" s="1" t="s">
        <v>1646</v>
      </c>
      <c r="J147" s="1" t="s">
        <v>1363</v>
      </c>
      <c r="K147" s="1">
        <v>5.130180862E9</v>
      </c>
      <c r="L147" s="1">
        <v>5.1998864435E10</v>
      </c>
      <c r="M147" s="1" t="s">
        <v>1142</v>
      </c>
      <c r="O147" s="1" t="b">
        <v>0</v>
      </c>
      <c r="P147" s="12">
        <v>0.375</v>
      </c>
      <c r="Q147" s="12">
        <v>0.9166666666666666</v>
      </c>
      <c r="R147" s="1" t="s">
        <v>1647</v>
      </c>
      <c r="S147" s="1" t="s">
        <v>1648</v>
      </c>
      <c r="T147" s="1" t="s">
        <v>51</v>
      </c>
      <c r="U147" s="5">
        <v>46079.65403935185</v>
      </c>
    </row>
    <row r="148" ht="15.75" customHeight="1">
      <c r="A148" s="1" t="s">
        <v>32</v>
      </c>
      <c r="B148" s="1" t="s">
        <v>1649</v>
      </c>
      <c r="C148" s="1" t="s">
        <v>1650</v>
      </c>
      <c r="D148" s="1" t="s">
        <v>1651</v>
      </c>
      <c r="E148" s="1" t="s">
        <v>1652</v>
      </c>
      <c r="F148" s="1" t="s">
        <v>1653</v>
      </c>
      <c r="G148" s="1" t="s">
        <v>1654</v>
      </c>
      <c r="H148" s="1" t="s">
        <v>226</v>
      </c>
      <c r="I148" s="1" t="s">
        <v>1655</v>
      </c>
      <c r="J148" s="1" t="s">
        <v>1363</v>
      </c>
      <c r="K148" s="1">
        <v>5.330259109E9</v>
      </c>
      <c r="L148" s="1">
        <v>5.3999634292E10</v>
      </c>
      <c r="M148" s="1" t="s">
        <v>1142</v>
      </c>
      <c r="O148" s="1" t="b">
        <v>0</v>
      </c>
      <c r="P148" s="12">
        <v>0.4166666666666667</v>
      </c>
      <c r="Q148" s="12">
        <v>0.9166666666666666</v>
      </c>
      <c r="R148" s="1" t="s">
        <v>1657</v>
      </c>
      <c r="T148" s="1" t="s">
        <v>51</v>
      </c>
      <c r="U148" s="5">
        <v>46080.65403935185</v>
      </c>
    </row>
    <row r="149" ht="15.75" customHeight="1">
      <c r="A149" s="1" t="s">
        <v>32</v>
      </c>
      <c r="B149" s="1" t="s">
        <v>1659</v>
      </c>
      <c r="C149" s="1" t="s">
        <v>1660</v>
      </c>
      <c r="D149" s="1" t="s">
        <v>1661</v>
      </c>
      <c r="E149" s="1" t="s">
        <v>382</v>
      </c>
      <c r="F149" s="1" t="s">
        <v>1662</v>
      </c>
      <c r="G149" s="1" t="s">
        <v>1407</v>
      </c>
      <c r="H149" s="1" t="s">
        <v>226</v>
      </c>
      <c r="I149" s="1" t="s">
        <v>1663</v>
      </c>
      <c r="J149" s="1" t="s">
        <v>1399</v>
      </c>
      <c r="K149" s="1">
        <v>5.130428668E9</v>
      </c>
      <c r="L149" s="1">
        <v>5.1998821892E10</v>
      </c>
      <c r="M149" s="1" t="s">
        <v>1142</v>
      </c>
      <c r="O149" s="1" t="b">
        <v>0</v>
      </c>
      <c r="P149" s="12">
        <v>0.4166666666666667</v>
      </c>
      <c r="Q149" s="12">
        <v>0.9166666666666666</v>
      </c>
      <c r="R149" s="1" t="s">
        <v>1664</v>
      </c>
      <c r="S149" s="1" t="s">
        <v>1665</v>
      </c>
      <c r="T149" s="1" t="s">
        <v>51</v>
      </c>
      <c r="U149" s="5">
        <v>46081.65403935185</v>
      </c>
    </row>
    <row r="150" ht="15.75" customHeight="1">
      <c r="A150" s="1" t="s">
        <v>32</v>
      </c>
      <c r="B150" s="1" t="s">
        <v>1666</v>
      </c>
      <c r="C150" s="1" t="s">
        <v>1667</v>
      </c>
      <c r="D150" s="1" t="s">
        <v>1669</v>
      </c>
      <c r="E150" s="1" t="s">
        <v>1670</v>
      </c>
      <c r="F150" s="1" t="s">
        <v>1671</v>
      </c>
      <c r="G150" s="1" t="s">
        <v>1672</v>
      </c>
      <c r="H150" s="1" t="s">
        <v>240</v>
      </c>
      <c r="I150" s="1" t="s">
        <v>1673</v>
      </c>
      <c r="J150" s="1" t="s">
        <v>1399</v>
      </c>
      <c r="K150" s="1">
        <v>4.730554475E9</v>
      </c>
      <c r="L150" s="1" t="s">
        <v>1675</v>
      </c>
      <c r="M150" s="1" t="s">
        <v>1142</v>
      </c>
      <c r="O150" s="1" t="b">
        <v>0</v>
      </c>
      <c r="P150" s="12">
        <v>0.4166666666666667</v>
      </c>
      <c r="Q150" s="12">
        <v>0.9166666666666666</v>
      </c>
      <c r="R150" s="1" t="s">
        <v>1676</v>
      </c>
      <c r="S150" s="1" t="s">
        <v>1678</v>
      </c>
      <c r="T150" s="1" t="s">
        <v>51</v>
      </c>
      <c r="U150" s="5">
        <v>46072.66308659723</v>
      </c>
    </row>
    <row r="151" ht="15.75" customHeight="1">
      <c r="A151" s="1" t="s">
        <v>32</v>
      </c>
      <c r="B151" s="1" t="s">
        <v>1681</v>
      </c>
      <c r="C151" s="1" t="s">
        <v>1446</v>
      </c>
      <c r="D151" s="1" t="s">
        <v>1682</v>
      </c>
      <c r="E151" s="1" t="s">
        <v>1683</v>
      </c>
      <c r="F151" s="1" t="s">
        <v>1359</v>
      </c>
      <c r="G151" s="1" t="s">
        <v>1360</v>
      </c>
      <c r="H151" s="1" t="s">
        <v>226</v>
      </c>
      <c r="I151" s="1" t="s">
        <v>1684</v>
      </c>
      <c r="J151" s="1" t="s">
        <v>1685</v>
      </c>
      <c r="K151" s="1">
        <v>5.130180863E9</v>
      </c>
      <c r="L151" s="1" t="s">
        <v>1686</v>
      </c>
      <c r="M151" s="1" t="s">
        <v>1142</v>
      </c>
      <c r="O151" s="1" t="b">
        <v>0</v>
      </c>
      <c r="P151" s="12">
        <v>0.375</v>
      </c>
      <c r="Q151" s="12">
        <v>0.7916666666666666</v>
      </c>
      <c r="R151" s="1" t="s">
        <v>1688</v>
      </c>
      <c r="S151" s="1" t="s">
        <v>1689</v>
      </c>
      <c r="T151" s="1" t="s">
        <v>51</v>
      </c>
      <c r="U151" s="5">
        <v>46078.65445559028</v>
      </c>
    </row>
    <row r="152" ht="15.75" customHeight="1">
      <c r="A152" s="1" t="s">
        <v>32</v>
      </c>
      <c r="B152" s="1" t="s">
        <v>1691</v>
      </c>
      <c r="C152" s="1" t="s">
        <v>1692</v>
      </c>
      <c r="D152" s="1" t="s">
        <v>1693</v>
      </c>
      <c r="E152" s="1" t="s">
        <v>1694</v>
      </c>
      <c r="F152" s="1" t="s">
        <v>1359</v>
      </c>
      <c r="G152" s="1" t="s">
        <v>1696</v>
      </c>
      <c r="H152" s="1" t="s">
        <v>226</v>
      </c>
      <c r="I152" s="1" t="s">
        <v>1697</v>
      </c>
      <c r="J152" s="1" t="s">
        <v>1685</v>
      </c>
      <c r="K152" s="1">
        <v>5.330358098E9</v>
      </c>
      <c r="L152" s="1" t="s">
        <v>1698</v>
      </c>
      <c r="M152" s="1" t="s">
        <v>1142</v>
      </c>
      <c r="O152" s="1" t="b">
        <v>0</v>
      </c>
      <c r="P152" s="12">
        <v>0.375</v>
      </c>
      <c r="Q152" s="12">
        <v>0.7916666666666666</v>
      </c>
      <c r="R152" s="1" t="s">
        <v>1699</v>
      </c>
      <c r="S152" s="1" t="s">
        <v>1700</v>
      </c>
      <c r="T152" s="1" t="s">
        <v>51</v>
      </c>
      <c r="U152" s="5">
        <v>46072.5890140625</v>
      </c>
    </row>
    <row r="153" ht="15.75" customHeight="1">
      <c r="A153" s="1" t="s">
        <v>32</v>
      </c>
      <c r="B153" s="1" t="s">
        <v>1701</v>
      </c>
      <c r="C153" s="1" t="s">
        <v>1702</v>
      </c>
      <c r="D153" s="1" t="s">
        <v>1703</v>
      </c>
      <c r="E153" s="1" t="s">
        <v>1704</v>
      </c>
      <c r="F153" s="1" t="s">
        <v>1359</v>
      </c>
      <c r="G153" s="1" t="s">
        <v>1360</v>
      </c>
      <c r="H153" s="1" t="s">
        <v>226</v>
      </c>
      <c r="I153" s="1" t="s">
        <v>1705</v>
      </c>
      <c r="J153" s="1" t="s">
        <v>1685</v>
      </c>
      <c r="K153" s="1">
        <v>5.130180864E9</v>
      </c>
      <c r="L153" s="1" t="s">
        <v>1706</v>
      </c>
      <c r="M153" s="1" t="s">
        <v>1142</v>
      </c>
      <c r="O153" s="1" t="b">
        <v>0</v>
      </c>
      <c r="P153" s="12">
        <v>0.375</v>
      </c>
      <c r="Q153" s="12">
        <v>0.7916666666666666</v>
      </c>
      <c r="R153" s="1" t="s">
        <v>1708</v>
      </c>
      <c r="S153" s="1" t="s">
        <v>1710</v>
      </c>
      <c r="T153" s="1" t="s">
        <v>51</v>
      </c>
      <c r="U153" s="5">
        <v>46079.68396799768</v>
      </c>
    </row>
    <row r="154" ht="15.75" customHeight="1">
      <c r="A154" s="1" t="s">
        <v>32</v>
      </c>
      <c r="B154" s="1" t="s">
        <v>1711</v>
      </c>
      <c r="C154" s="1" t="s">
        <v>1712</v>
      </c>
      <c r="D154" s="1" t="s">
        <v>1713</v>
      </c>
      <c r="E154" s="1" t="s">
        <v>1714</v>
      </c>
      <c r="F154" s="1" t="s">
        <v>1359</v>
      </c>
      <c r="G154" s="1" t="s">
        <v>1397</v>
      </c>
      <c r="H154" s="1" t="s">
        <v>226</v>
      </c>
      <c r="I154" s="1" t="s">
        <v>1715</v>
      </c>
      <c r="J154" s="1" t="s">
        <v>1685</v>
      </c>
      <c r="K154" s="1">
        <v>5.130747047E9</v>
      </c>
      <c r="L154" s="1" t="s">
        <v>1716</v>
      </c>
      <c r="M154" s="1" t="s">
        <v>1142</v>
      </c>
      <c r="O154" s="1" t="b">
        <v>0</v>
      </c>
      <c r="P154" s="12">
        <v>0.375</v>
      </c>
      <c r="Q154" s="12">
        <v>0.7916666666666666</v>
      </c>
      <c r="R154" s="1" t="s">
        <v>1717</v>
      </c>
      <c r="S154" s="1" t="s">
        <v>1718</v>
      </c>
      <c r="T154" s="1" t="s">
        <v>51</v>
      </c>
      <c r="U154" s="5">
        <v>46052.6341809838</v>
      </c>
    </row>
    <row r="155" ht="15.75" customHeight="1">
      <c r="A155" s="1" t="s">
        <v>32</v>
      </c>
      <c r="B155" s="1" t="s">
        <v>1719</v>
      </c>
      <c r="C155" s="1" t="s">
        <v>1720</v>
      </c>
      <c r="D155" s="1" t="s">
        <v>1721</v>
      </c>
      <c r="E155" s="1" t="s">
        <v>1722</v>
      </c>
      <c r="F155" s="1" t="s">
        <v>1723</v>
      </c>
      <c r="G155" s="1" t="s">
        <v>1360</v>
      </c>
      <c r="H155" s="1" t="s">
        <v>226</v>
      </c>
      <c r="I155" s="1" t="s">
        <v>1724</v>
      </c>
      <c r="J155" s="1" t="s">
        <v>1685</v>
      </c>
      <c r="K155" s="1">
        <v>5.130180865E9</v>
      </c>
      <c r="L155" s="1" t="s">
        <v>1726</v>
      </c>
      <c r="M155" s="1" t="s">
        <v>1142</v>
      </c>
      <c r="O155" s="1" t="b">
        <v>0</v>
      </c>
      <c r="P155" s="12">
        <v>0.375</v>
      </c>
      <c r="Q155" s="12">
        <v>0.7916666666666666</v>
      </c>
      <c r="R155" s="1" t="s">
        <v>1728</v>
      </c>
      <c r="S155" s="1" t="s">
        <v>1729</v>
      </c>
      <c r="T155" s="1" t="s">
        <v>51</v>
      </c>
      <c r="U155" s="5">
        <v>46079.68431740741</v>
      </c>
    </row>
    <row r="156" ht="15.75" customHeight="1">
      <c r="A156" s="1" t="s">
        <v>32</v>
      </c>
      <c r="B156" s="1" t="s">
        <v>1731</v>
      </c>
      <c r="C156" s="1">
        <v>9.401E7</v>
      </c>
      <c r="D156" s="1" t="s">
        <v>1732</v>
      </c>
      <c r="E156" s="1">
        <v>1378.0</v>
      </c>
      <c r="F156" s="1" t="s">
        <v>1359</v>
      </c>
      <c r="G156" s="1" t="s">
        <v>1407</v>
      </c>
      <c r="H156" s="1" t="s">
        <v>226</v>
      </c>
      <c r="I156" s="1" t="s">
        <v>1733</v>
      </c>
      <c r="J156" s="1" t="s">
        <v>1685</v>
      </c>
      <c r="K156" s="1">
        <v>5.130428669E9</v>
      </c>
      <c r="L156" s="1">
        <v>5.1998508976E10</v>
      </c>
      <c r="M156" s="1" t="s">
        <v>1142</v>
      </c>
      <c r="O156" s="1" t="b">
        <v>0</v>
      </c>
      <c r="P156" s="12">
        <v>0.375</v>
      </c>
      <c r="Q156" s="12">
        <v>0.7916666666666666</v>
      </c>
      <c r="R156" s="1" t="s">
        <v>1734</v>
      </c>
      <c r="S156" s="1" t="s">
        <v>1735</v>
      </c>
      <c r="T156" s="1" t="s">
        <v>51</v>
      </c>
      <c r="U156" s="5">
        <v>46080.68431712963</v>
      </c>
    </row>
    <row r="157" ht="15.75" customHeight="1">
      <c r="A157" s="1" t="s">
        <v>32</v>
      </c>
      <c r="B157" s="1" t="s">
        <v>1736</v>
      </c>
      <c r="C157" s="1">
        <v>9.1340001E7</v>
      </c>
      <c r="D157" s="1" t="s">
        <v>1737</v>
      </c>
      <c r="E157" s="1" t="s">
        <v>1485</v>
      </c>
      <c r="F157" s="1" t="s">
        <v>1486</v>
      </c>
      <c r="G157" s="1" t="s">
        <v>1360</v>
      </c>
      <c r="H157" s="1" t="s">
        <v>226</v>
      </c>
      <c r="I157" s="1" t="s">
        <v>1741</v>
      </c>
      <c r="J157" s="1" t="s">
        <v>1685</v>
      </c>
      <c r="K157" s="1">
        <v>5.130180866E9</v>
      </c>
      <c r="L157" s="1">
        <v>5.1998506991E10</v>
      </c>
      <c r="M157" s="1" t="s">
        <v>1142</v>
      </c>
      <c r="O157" s="1" t="b">
        <v>0</v>
      </c>
      <c r="P157" s="12">
        <v>0.4166666666666667</v>
      </c>
      <c r="Q157" s="12">
        <v>0.9166666666666666</v>
      </c>
      <c r="R157" s="1" t="s">
        <v>1744</v>
      </c>
      <c r="S157" s="1" t="s">
        <v>1745</v>
      </c>
      <c r="T157" s="1" t="s">
        <v>51</v>
      </c>
      <c r="U157" s="5">
        <v>46081.68431712963</v>
      </c>
    </row>
    <row r="158" ht="15.75" customHeight="1">
      <c r="A158" s="1" t="s">
        <v>32</v>
      </c>
      <c r="B158" s="1" t="s">
        <v>1750</v>
      </c>
      <c r="C158" s="1">
        <v>9.2310001E7</v>
      </c>
      <c r="D158" s="1" t="s">
        <v>1751</v>
      </c>
      <c r="E158" s="1" t="s">
        <v>1455</v>
      </c>
      <c r="F158" s="1" t="s">
        <v>1359</v>
      </c>
      <c r="G158" s="1" t="s">
        <v>1373</v>
      </c>
      <c r="H158" s="1" t="s">
        <v>226</v>
      </c>
      <c r="I158" s="1" t="s">
        <v>1752</v>
      </c>
      <c r="J158" s="1" t="s">
        <v>1685</v>
      </c>
      <c r="K158" s="1">
        <v>5.130520561E9</v>
      </c>
      <c r="L158" s="1">
        <v>5.1999902097E10</v>
      </c>
      <c r="M158" s="1" t="s">
        <v>1142</v>
      </c>
      <c r="O158" s="1" t="b">
        <v>0</v>
      </c>
      <c r="P158" s="12">
        <v>0.4166666666666667</v>
      </c>
      <c r="Q158" s="12">
        <v>0.9166666666666666</v>
      </c>
      <c r="R158" s="1" t="s">
        <v>1753</v>
      </c>
      <c r="S158" s="1" t="s">
        <v>1754</v>
      </c>
      <c r="T158" s="1" t="s">
        <v>51</v>
      </c>
      <c r="U158" s="5">
        <v>46082.68431712963</v>
      </c>
    </row>
    <row r="159" ht="15.75" customHeight="1">
      <c r="A159" s="1" t="s">
        <v>32</v>
      </c>
      <c r="B159" s="1" t="s">
        <v>1756</v>
      </c>
      <c r="C159" s="1">
        <v>9.101E7</v>
      </c>
      <c r="D159" s="1" t="s">
        <v>1757</v>
      </c>
      <c r="E159" s="1">
        <v>164.0</v>
      </c>
      <c r="F159" s="1" t="s">
        <v>1760</v>
      </c>
      <c r="G159" s="1" t="s">
        <v>1360</v>
      </c>
      <c r="H159" s="1" t="s">
        <v>226</v>
      </c>
      <c r="I159" s="1" t="s">
        <v>1762</v>
      </c>
      <c r="J159" s="1" t="s">
        <v>1685</v>
      </c>
      <c r="K159" s="1">
        <v>5.130180867E9</v>
      </c>
      <c r="L159" s="1">
        <v>5.1999560247E10</v>
      </c>
      <c r="M159" s="1" t="s">
        <v>1142</v>
      </c>
      <c r="O159" s="1" t="b">
        <v>0</v>
      </c>
      <c r="P159" s="12">
        <v>0.375</v>
      </c>
      <c r="Q159" s="12">
        <v>0.9166666666666666</v>
      </c>
      <c r="R159" s="1" t="s">
        <v>1763</v>
      </c>
      <c r="S159" s="1" t="s">
        <v>1764</v>
      </c>
      <c r="T159" s="1" t="s">
        <v>51</v>
      </c>
      <c r="U159" s="5">
        <v>46083.68431712963</v>
      </c>
    </row>
    <row r="160" ht="15.75" customHeight="1">
      <c r="A160" s="1" t="s">
        <v>32</v>
      </c>
      <c r="B160" s="1" t="s">
        <v>1766</v>
      </c>
      <c r="C160" s="1">
        <v>9.1010002E7</v>
      </c>
      <c r="D160" s="1" t="s">
        <v>1768</v>
      </c>
      <c r="E160" s="1" t="s">
        <v>1769</v>
      </c>
      <c r="F160" s="1" t="s">
        <v>1760</v>
      </c>
      <c r="G160" s="1" t="s">
        <v>1360</v>
      </c>
      <c r="H160" s="1" t="s">
        <v>226</v>
      </c>
      <c r="I160" s="1" t="s">
        <v>1771</v>
      </c>
      <c r="J160" s="1" t="s">
        <v>1685</v>
      </c>
      <c r="K160" s="1">
        <v>5.130180868E9</v>
      </c>
      <c r="L160" s="1" t="s">
        <v>1772</v>
      </c>
      <c r="M160" s="1" t="s">
        <v>1142</v>
      </c>
      <c r="O160" s="1" t="b">
        <v>0</v>
      </c>
      <c r="P160" s="12">
        <v>0.375</v>
      </c>
      <c r="Q160" s="12">
        <v>0.7916666666666666</v>
      </c>
      <c r="R160" s="1" t="s">
        <v>1773</v>
      </c>
      <c r="S160" s="1" t="s">
        <v>1774</v>
      </c>
      <c r="T160" s="1" t="s">
        <v>51</v>
      </c>
      <c r="U160" s="5">
        <v>46052.68843482639</v>
      </c>
    </row>
    <row r="161" ht="15.75" customHeight="1">
      <c r="A161" s="1" t="s">
        <v>32</v>
      </c>
      <c r="B161" s="1" t="s">
        <v>1776</v>
      </c>
      <c r="C161" s="1">
        <v>9.4810001E7</v>
      </c>
      <c r="D161" s="1" t="s">
        <v>1777</v>
      </c>
      <c r="E161" s="1">
        <v>2030.0</v>
      </c>
      <c r="F161" s="1" t="s">
        <v>1778</v>
      </c>
      <c r="G161" s="1" t="s">
        <v>1779</v>
      </c>
      <c r="H161" s="1" t="s">
        <v>226</v>
      </c>
      <c r="I161" s="1" t="s">
        <v>1781</v>
      </c>
      <c r="J161" s="1" t="s">
        <v>1685</v>
      </c>
      <c r="K161" s="1">
        <v>5.130341699E9</v>
      </c>
      <c r="L161" s="1">
        <v>5.1999481469E10</v>
      </c>
      <c r="M161" s="1" t="s">
        <v>1142</v>
      </c>
      <c r="O161" s="1" t="b">
        <v>0</v>
      </c>
      <c r="P161" s="12">
        <v>0.375</v>
      </c>
      <c r="Q161" s="12">
        <v>0.7916666666666666</v>
      </c>
      <c r="R161" s="1" t="s">
        <v>1783</v>
      </c>
      <c r="S161" s="1" t="s">
        <v>1784</v>
      </c>
      <c r="T161" s="1" t="s">
        <v>51</v>
      </c>
      <c r="U161" s="5">
        <v>46053.6884375</v>
      </c>
    </row>
    <row r="162" ht="15.75" customHeight="1">
      <c r="A162" s="1" t="s">
        <v>32</v>
      </c>
      <c r="B162" s="1" t="s">
        <v>1785</v>
      </c>
      <c r="C162" s="1" t="s">
        <v>1787</v>
      </c>
      <c r="D162" s="1" t="s">
        <v>1788</v>
      </c>
      <c r="E162" s="1" t="s">
        <v>1789</v>
      </c>
      <c r="F162" s="1" t="s">
        <v>1790</v>
      </c>
      <c r="G162" s="1" t="s">
        <v>1360</v>
      </c>
      <c r="H162" s="1" t="s">
        <v>226</v>
      </c>
      <c r="I162" s="1" t="s">
        <v>1792</v>
      </c>
      <c r="J162" s="1" t="s">
        <v>1685</v>
      </c>
      <c r="K162" s="1">
        <v>5.130180869E9</v>
      </c>
      <c r="L162" s="1">
        <v>5.1999388772E10</v>
      </c>
      <c r="M162" s="1" t="s">
        <v>1142</v>
      </c>
      <c r="O162" s="1" t="b">
        <v>0</v>
      </c>
      <c r="P162" s="12">
        <v>0.375</v>
      </c>
      <c r="Q162" s="12">
        <v>0.7916666666666666</v>
      </c>
      <c r="R162" s="1" t="s">
        <v>1795</v>
      </c>
      <c r="S162" s="1" t="s">
        <v>1796</v>
      </c>
      <c r="T162" s="1" t="s">
        <v>51</v>
      </c>
      <c r="U162" s="5">
        <v>46054.6884375</v>
      </c>
    </row>
    <row r="163" ht="15.75" customHeight="1">
      <c r="A163" s="1" t="s">
        <v>32</v>
      </c>
      <c r="B163" s="1" t="s">
        <v>1799</v>
      </c>
      <c r="C163" s="1">
        <v>9.153001E7</v>
      </c>
      <c r="D163" s="1" t="s">
        <v>1801</v>
      </c>
      <c r="E163" s="1">
        <v>111.0</v>
      </c>
      <c r="F163" s="1" t="s">
        <v>1802</v>
      </c>
      <c r="G163" s="1" t="s">
        <v>1360</v>
      </c>
      <c r="H163" s="1" t="s">
        <v>226</v>
      </c>
      <c r="I163" s="1" t="s">
        <v>1803</v>
      </c>
      <c r="J163" s="1" t="s">
        <v>1685</v>
      </c>
      <c r="K163" s="1">
        <v>5.13018087E9</v>
      </c>
      <c r="L163" s="1">
        <v>5.1999371943E10</v>
      </c>
      <c r="M163" s="1" t="s">
        <v>1142</v>
      </c>
      <c r="O163" s="1" t="b">
        <v>0</v>
      </c>
      <c r="P163" s="12">
        <v>0.375</v>
      </c>
      <c r="Q163" s="12">
        <v>0.9166666666666666</v>
      </c>
      <c r="R163" s="1" t="s">
        <v>1805</v>
      </c>
      <c r="S163" s="1" t="s">
        <v>1806</v>
      </c>
      <c r="T163" s="1" t="s">
        <v>51</v>
      </c>
      <c r="U163" s="5">
        <v>46055.6884375</v>
      </c>
    </row>
    <row r="164" ht="15.75" customHeight="1">
      <c r="A164" s="1" t="s">
        <v>32</v>
      </c>
      <c r="B164" s="1" t="s">
        <v>1808</v>
      </c>
      <c r="C164" s="1">
        <v>9.0520003E7</v>
      </c>
      <c r="D164" s="1" t="s">
        <v>1810</v>
      </c>
      <c r="E164" s="1">
        <v>2343.0</v>
      </c>
      <c r="F164" s="1" t="s">
        <v>1760</v>
      </c>
      <c r="G164" s="1" t="s">
        <v>1360</v>
      </c>
      <c r="H164" s="1" t="s">
        <v>226</v>
      </c>
      <c r="I164" s="1" t="s">
        <v>1811</v>
      </c>
      <c r="J164" s="1" t="s">
        <v>1685</v>
      </c>
      <c r="K164" s="1">
        <v>5.130180871E9</v>
      </c>
      <c r="L164" s="1">
        <v>5.1999364384E10</v>
      </c>
      <c r="M164" s="1" t="s">
        <v>1142</v>
      </c>
      <c r="O164" s="1" t="b">
        <v>0</v>
      </c>
      <c r="P164" s="12">
        <v>0.375</v>
      </c>
      <c r="Q164" s="12">
        <v>0.875</v>
      </c>
      <c r="R164" s="1" t="s">
        <v>1814</v>
      </c>
      <c r="S164" s="1" t="s">
        <v>1815</v>
      </c>
      <c r="T164" s="1" t="s">
        <v>51</v>
      </c>
      <c r="U164" s="5">
        <v>46056.6884375</v>
      </c>
    </row>
    <row r="165" ht="15.75" customHeight="1">
      <c r="A165" s="1" t="s">
        <v>32</v>
      </c>
      <c r="B165" s="1" t="s">
        <v>1817</v>
      </c>
      <c r="C165" s="1">
        <v>9.0560003E7</v>
      </c>
      <c r="D165" s="1" t="s">
        <v>1818</v>
      </c>
      <c r="E165" s="1">
        <v>545.0</v>
      </c>
      <c r="F165" s="1" t="s">
        <v>1819</v>
      </c>
      <c r="G165" s="1" t="s">
        <v>1360</v>
      </c>
      <c r="H165" s="1" t="s">
        <v>226</v>
      </c>
      <c r="I165" s="1" t="s">
        <v>1820</v>
      </c>
      <c r="J165" s="1" t="s">
        <v>1685</v>
      </c>
      <c r="K165" s="1">
        <v>5.130180872E9</v>
      </c>
      <c r="L165" s="1">
        <v>5.1999302011E10</v>
      </c>
      <c r="M165" s="1" t="s">
        <v>1142</v>
      </c>
      <c r="O165" s="1" t="b">
        <v>0</v>
      </c>
      <c r="P165" s="12">
        <v>0.4166666666666667</v>
      </c>
      <c r="Q165" s="12">
        <v>0.9166666666666666</v>
      </c>
      <c r="R165" s="1" t="s">
        <v>1821</v>
      </c>
      <c r="S165" s="1" t="s">
        <v>1822</v>
      </c>
      <c r="T165" s="1" t="s">
        <v>51</v>
      </c>
      <c r="U165" s="5">
        <v>46057.6884375</v>
      </c>
    </row>
    <row r="166" ht="15.75" customHeight="1">
      <c r="A166" s="1" t="s">
        <v>32</v>
      </c>
      <c r="B166" s="1" t="s">
        <v>1824</v>
      </c>
      <c r="C166" s="1">
        <v>9.201026E7</v>
      </c>
      <c r="D166" s="1" t="s">
        <v>1825</v>
      </c>
      <c r="E166" s="1">
        <v>282.0</v>
      </c>
      <c r="F166" s="1" t="s">
        <v>1359</v>
      </c>
      <c r="G166" s="1" t="s">
        <v>1373</v>
      </c>
      <c r="H166" s="1" t="s">
        <v>226</v>
      </c>
      <c r="I166" s="1" t="s">
        <v>1826</v>
      </c>
      <c r="J166" s="1" t="s">
        <v>1685</v>
      </c>
      <c r="K166" s="1">
        <v>5.130520562E9</v>
      </c>
      <c r="L166" s="1">
        <v>5.199922875E10</v>
      </c>
      <c r="M166" s="1" t="s">
        <v>1142</v>
      </c>
      <c r="O166" s="1" t="b">
        <v>0</v>
      </c>
      <c r="P166" s="12">
        <v>0.375</v>
      </c>
      <c r="Q166" s="12">
        <v>0.7916666666666666</v>
      </c>
      <c r="R166" s="1" t="s">
        <v>1828</v>
      </c>
      <c r="S166" s="1" t="s">
        <v>1829</v>
      </c>
      <c r="T166" s="1" t="s">
        <v>51</v>
      </c>
      <c r="U166" s="5">
        <v>46058.6884375</v>
      </c>
    </row>
    <row r="167" ht="15.75" customHeight="1">
      <c r="A167" s="1" t="s">
        <v>32</v>
      </c>
      <c r="B167" s="1" t="s">
        <v>1830</v>
      </c>
      <c r="C167" s="1">
        <v>9.495E7</v>
      </c>
      <c r="D167" s="1" t="s">
        <v>1831</v>
      </c>
      <c r="E167" s="1">
        <v>4001.0</v>
      </c>
      <c r="F167" s="1" t="s">
        <v>1832</v>
      </c>
      <c r="G167" s="1" t="s">
        <v>1397</v>
      </c>
      <c r="H167" s="1" t="s">
        <v>226</v>
      </c>
      <c r="I167" s="1" t="s">
        <v>1835</v>
      </c>
      <c r="J167" s="1" t="s">
        <v>1685</v>
      </c>
      <c r="K167" s="1">
        <v>5.130747048E9</v>
      </c>
      <c r="L167" s="1">
        <v>5.1999103705E10</v>
      </c>
      <c r="M167" s="1" t="s">
        <v>1142</v>
      </c>
      <c r="O167" s="1" t="b">
        <v>0</v>
      </c>
      <c r="P167" s="12">
        <v>0.4166666666666667</v>
      </c>
      <c r="Q167" s="12">
        <v>0.9166666666666666</v>
      </c>
      <c r="R167" s="1" t="s">
        <v>1838</v>
      </c>
      <c r="S167" s="1" t="s">
        <v>1839</v>
      </c>
      <c r="T167" s="1" t="s">
        <v>51</v>
      </c>
      <c r="U167" s="5">
        <v>46059.6884375</v>
      </c>
    </row>
    <row r="168" ht="15.75" customHeight="1">
      <c r="A168" s="1" t="s">
        <v>32</v>
      </c>
      <c r="B168" s="1" t="s">
        <v>1840</v>
      </c>
      <c r="C168" s="1">
        <v>9.321024E7</v>
      </c>
      <c r="D168" s="1" t="s">
        <v>1841</v>
      </c>
      <c r="E168" s="1">
        <v>2022.0</v>
      </c>
      <c r="F168" s="1" t="s">
        <v>1359</v>
      </c>
      <c r="G168" s="1" t="s">
        <v>1842</v>
      </c>
      <c r="H168" s="1" t="s">
        <v>226</v>
      </c>
      <c r="I168" s="1" t="s">
        <v>1843</v>
      </c>
      <c r="J168" s="1" t="s">
        <v>1685</v>
      </c>
      <c r="K168" s="1">
        <v>5.130452E9</v>
      </c>
      <c r="L168" s="1" t="s">
        <v>1844</v>
      </c>
      <c r="M168" s="1" t="s">
        <v>1142</v>
      </c>
      <c r="O168" s="1" t="b">
        <v>0</v>
      </c>
      <c r="P168" s="12">
        <v>0.375</v>
      </c>
      <c r="Q168" s="12">
        <v>0.7916666666666666</v>
      </c>
      <c r="R168" s="1" t="s">
        <v>1846</v>
      </c>
      <c r="S168" s="1" t="s">
        <v>1847</v>
      </c>
      <c r="T168" s="1" t="s">
        <v>51</v>
      </c>
      <c r="U168" s="5">
        <v>46052.6878021412</v>
      </c>
    </row>
    <row r="169" ht="15.75" customHeight="1">
      <c r="A169" s="1" t="s">
        <v>32</v>
      </c>
      <c r="B169" s="1" t="s">
        <v>1848</v>
      </c>
      <c r="C169" s="1">
        <v>9.441005E7</v>
      </c>
      <c r="D169" s="1" t="s">
        <v>1851</v>
      </c>
      <c r="E169" s="1">
        <v>18.0</v>
      </c>
      <c r="F169" s="1" t="s">
        <v>1359</v>
      </c>
      <c r="G169" s="1" t="s">
        <v>1852</v>
      </c>
      <c r="H169" s="1" t="s">
        <v>226</v>
      </c>
      <c r="I169" s="1" t="s">
        <v>1853</v>
      </c>
      <c r="J169" s="1" t="s">
        <v>1685</v>
      </c>
      <c r="K169" s="1">
        <v>5.13045201E9</v>
      </c>
      <c r="L169" s="1" t="s">
        <v>1854</v>
      </c>
      <c r="M169" s="1" t="s">
        <v>1142</v>
      </c>
      <c r="O169" s="1" t="b">
        <v>0</v>
      </c>
      <c r="P169" s="12">
        <v>0.375</v>
      </c>
      <c r="Q169" s="12">
        <v>0.7916666666666666</v>
      </c>
      <c r="R169" s="1" t="s">
        <v>1855</v>
      </c>
      <c r="S169" s="1" t="s">
        <v>1856</v>
      </c>
      <c r="T169" s="1" t="s">
        <v>51</v>
      </c>
      <c r="U169" s="5">
        <v>46052.68701767361</v>
      </c>
    </row>
    <row r="170" ht="15.75" customHeight="1">
      <c r="A170" s="1" t="s">
        <v>32</v>
      </c>
      <c r="B170" s="1" t="s">
        <v>1859</v>
      </c>
      <c r="C170" s="1">
        <v>9.111058E7</v>
      </c>
      <c r="D170" s="1" t="s">
        <v>1860</v>
      </c>
      <c r="E170" s="1">
        <v>6767.0</v>
      </c>
      <c r="F170" s="1" t="s">
        <v>1633</v>
      </c>
      <c r="G170" s="1" t="s">
        <v>1360</v>
      </c>
      <c r="H170" s="1" t="s">
        <v>226</v>
      </c>
      <c r="I170" s="1" t="s">
        <v>1862</v>
      </c>
      <c r="J170" s="1" t="s">
        <v>1685</v>
      </c>
      <c r="K170" s="1">
        <v>5.130180873E9</v>
      </c>
      <c r="L170" s="1">
        <v>5.1995661194E10</v>
      </c>
      <c r="M170" s="1" t="s">
        <v>1142</v>
      </c>
      <c r="O170" s="1" t="b">
        <v>0</v>
      </c>
      <c r="P170" s="12">
        <v>0.375</v>
      </c>
      <c r="Q170" s="12">
        <v>0.9166666666666666</v>
      </c>
      <c r="R170" s="1" t="s">
        <v>1865</v>
      </c>
      <c r="S170" s="1" t="s">
        <v>1866</v>
      </c>
      <c r="T170" s="1" t="s">
        <v>51</v>
      </c>
      <c r="U170" s="5">
        <v>46053.68701388889</v>
      </c>
    </row>
    <row r="171" ht="15.75" customHeight="1">
      <c r="A171" s="1" t="s">
        <v>32</v>
      </c>
      <c r="B171" s="1" t="s">
        <v>1868</v>
      </c>
      <c r="C171" s="1">
        <v>9.081008E7</v>
      </c>
      <c r="D171" s="1" t="s">
        <v>1870</v>
      </c>
      <c r="E171" s="1" t="s">
        <v>1562</v>
      </c>
      <c r="F171" s="1" t="s">
        <v>1563</v>
      </c>
      <c r="G171" s="1" t="s">
        <v>1360</v>
      </c>
      <c r="H171" s="1" t="s">
        <v>226</v>
      </c>
      <c r="I171" s="1" t="s">
        <v>1872</v>
      </c>
      <c r="J171" s="1" t="s">
        <v>1685</v>
      </c>
      <c r="K171" s="1">
        <v>5.130180874E9</v>
      </c>
      <c r="L171" s="1">
        <v>5.1995627398E10</v>
      </c>
      <c r="M171" s="1" t="s">
        <v>1142</v>
      </c>
      <c r="O171" s="1" t="b">
        <v>0</v>
      </c>
      <c r="P171" s="12">
        <v>0.4166666666666667</v>
      </c>
      <c r="Q171" s="12">
        <v>0.9166666666666666</v>
      </c>
      <c r="R171" s="1" t="s">
        <v>1874</v>
      </c>
      <c r="S171" s="1" t="s">
        <v>1875</v>
      </c>
      <c r="T171" s="1" t="s">
        <v>51</v>
      </c>
      <c r="U171" s="5">
        <v>46054.68701388889</v>
      </c>
    </row>
    <row r="172" ht="15.75" customHeight="1">
      <c r="A172" s="1" t="s">
        <v>32</v>
      </c>
      <c r="B172" s="1" t="s">
        <v>1876</v>
      </c>
      <c r="C172" s="1">
        <v>9.1010002E7</v>
      </c>
      <c r="D172" s="1" t="s">
        <v>1878</v>
      </c>
      <c r="E172" s="1">
        <v>2611.0</v>
      </c>
      <c r="F172" s="1" t="s">
        <v>1644</v>
      </c>
      <c r="G172" s="1" t="s">
        <v>1360</v>
      </c>
      <c r="H172" s="1" t="s">
        <v>226</v>
      </c>
      <c r="I172" s="1" t="s">
        <v>1879</v>
      </c>
      <c r="J172" s="1" t="s">
        <v>1685</v>
      </c>
      <c r="K172" s="1">
        <v>5.130180875E9</v>
      </c>
      <c r="L172" s="1">
        <v>5.1995527526E10</v>
      </c>
      <c r="M172" s="1" t="s">
        <v>1142</v>
      </c>
      <c r="O172" s="1" t="b">
        <v>0</v>
      </c>
      <c r="P172" s="12">
        <v>0.3541666666666667</v>
      </c>
      <c r="Q172" s="12">
        <v>0.7916666666666666</v>
      </c>
      <c r="R172" s="1" t="s">
        <v>1882</v>
      </c>
      <c r="S172" s="1" t="s">
        <v>1883</v>
      </c>
      <c r="T172" s="1" t="s">
        <v>51</v>
      </c>
      <c r="U172" s="5">
        <v>46055.68701388889</v>
      </c>
    </row>
    <row r="173" ht="15.75" customHeight="1">
      <c r="A173" s="1" t="s">
        <v>32</v>
      </c>
      <c r="B173" s="1" t="s">
        <v>1885</v>
      </c>
      <c r="C173" s="1">
        <v>9.6085E7</v>
      </c>
      <c r="D173" s="1" t="s">
        <v>1886</v>
      </c>
      <c r="E173" s="1">
        <v>1526.0</v>
      </c>
      <c r="F173" s="1" t="s">
        <v>1653</v>
      </c>
      <c r="G173" s="1" t="s">
        <v>1654</v>
      </c>
      <c r="H173" s="1" t="s">
        <v>226</v>
      </c>
      <c r="I173" s="1" t="s">
        <v>1888</v>
      </c>
      <c r="J173" s="1" t="s">
        <v>1685</v>
      </c>
      <c r="K173" s="1">
        <v>5.33025911E9</v>
      </c>
      <c r="L173" s="1">
        <v>5.3997133604E10</v>
      </c>
      <c r="M173" s="1" t="s">
        <v>1142</v>
      </c>
      <c r="O173" s="1" t="b">
        <v>0</v>
      </c>
      <c r="P173" s="12">
        <v>0.4166666666666667</v>
      </c>
      <c r="Q173" s="12">
        <v>0.9166666666666666</v>
      </c>
      <c r="R173" s="1" t="s">
        <v>1889</v>
      </c>
      <c r="S173" s="1" t="s">
        <v>1890</v>
      </c>
      <c r="T173" s="1" t="s">
        <v>51</v>
      </c>
      <c r="U173" s="5">
        <v>46056.68701388889</v>
      </c>
    </row>
    <row r="174" ht="15.75" customHeight="1">
      <c r="A174" s="1" t="s">
        <v>32</v>
      </c>
      <c r="B174" s="1" t="s">
        <v>1893</v>
      </c>
      <c r="C174" s="1" t="s">
        <v>1660</v>
      </c>
      <c r="D174" s="1" t="s">
        <v>1894</v>
      </c>
      <c r="E174" s="1" t="s">
        <v>382</v>
      </c>
      <c r="F174" s="1" t="s">
        <v>1662</v>
      </c>
      <c r="G174" s="1" t="s">
        <v>1407</v>
      </c>
      <c r="H174" s="1" t="s">
        <v>226</v>
      </c>
      <c r="I174" s="1" t="s">
        <v>1897</v>
      </c>
      <c r="J174" s="1" t="s">
        <v>1685</v>
      </c>
      <c r="K174" s="1">
        <v>5.13042867E9</v>
      </c>
      <c r="L174" s="1">
        <v>5.1995440979E10</v>
      </c>
      <c r="M174" s="1" t="s">
        <v>1142</v>
      </c>
      <c r="O174" s="1" t="b">
        <v>0</v>
      </c>
      <c r="P174" s="12">
        <v>0.4166666666666667</v>
      </c>
      <c r="Q174" s="12">
        <v>0.9166666666666666</v>
      </c>
      <c r="R174" s="1" t="s">
        <v>1901</v>
      </c>
      <c r="S174" s="1" t="s">
        <v>1903</v>
      </c>
      <c r="T174" s="1" t="s">
        <v>51</v>
      </c>
      <c r="U174" s="5">
        <v>46057.68701388889</v>
      </c>
    </row>
    <row r="175" ht="15.75" customHeight="1">
      <c r="A175" s="1" t="s">
        <v>32</v>
      </c>
      <c r="B175" s="1" t="s">
        <v>1905</v>
      </c>
      <c r="C175" s="1">
        <v>9.621273E7</v>
      </c>
      <c r="D175" s="1" t="s">
        <v>1907</v>
      </c>
      <c r="E175" s="1">
        <v>135.0</v>
      </c>
      <c r="F175" s="1" t="s">
        <v>1909</v>
      </c>
      <c r="G175" s="1" t="s">
        <v>1696</v>
      </c>
      <c r="H175" s="1" t="s">
        <v>226</v>
      </c>
      <c r="I175" s="1" t="s">
        <v>1910</v>
      </c>
      <c r="J175" s="1" t="s">
        <v>1685</v>
      </c>
      <c r="K175" s="1">
        <v>5.330358099E9</v>
      </c>
      <c r="L175" s="1">
        <v>5.1995302146E10</v>
      </c>
      <c r="M175" s="1" t="s">
        <v>1142</v>
      </c>
      <c r="O175" s="1" t="b">
        <v>0</v>
      </c>
      <c r="P175" s="12">
        <v>0.4166666666666667</v>
      </c>
      <c r="Q175" s="12">
        <v>0.9166666666666666</v>
      </c>
      <c r="R175" s="1" t="s">
        <v>1913</v>
      </c>
      <c r="S175" s="1" t="s">
        <v>1914</v>
      </c>
      <c r="T175" s="1" t="s">
        <v>51</v>
      </c>
      <c r="U175" s="5">
        <v>46058.68701388889</v>
      </c>
    </row>
    <row r="176" ht="15.75" customHeight="1">
      <c r="A176" s="1" t="s">
        <v>32</v>
      </c>
      <c r="B176" s="1" t="s">
        <v>1915</v>
      </c>
      <c r="C176" s="1">
        <v>9.2020475E7</v>
      </c>
      <c r="D176" s="1" t="s">
        <v>1916</v>
      </c>
      <c r="E176" s="1">
        <v>4545.0</v>
      </c>
      <c r="F176" s="1" t="s">
        <v>1372</v>
      </c>
      <c r="G176" s="1" t="s">
        <v>1373</v>
      </c>
      <c r="H176" s="1" t="s">
        <v>226</v>
      </c>
      <c r="I176" s="1" t="s">
        <v>1917</v>
      </c>
      <c r="J176" s="1" t="s">
        <v>1685</v>
      </c>
      <c r="K176" s="1">
        <v>5.130520564E9</v>
      </c>
      <c r="L176" s="1">
        <v>5.1995244686E10</v>
      </c>
      <c r="M176" s="1" t="s">
        <v>1142</v>
      </c>
      <c r="O176" s="1" t="b">
        <v>0</v>
      </c>
      <c r="P176" s="12">
        <v>0.4166666666666667</v>
      </c>
      <c r="Q176" s="12">
        <v>0.9583333333333334</v>
      </c>
      <c r="R176" s="1" t="s">
        <v>1919</v>
      </c>
      <c r="S176" s="1" t="s">
        <v>1920</v>
      </c>
      <c r="T176" s="1" t="s">
        <v>51</v>
      </c>
      <c r="U176" s="5">
        <v>46059.68701388889</v>
      </c>
    </row>
    <row r="177" ht="15.75" customHeight="1">
      <c r="A177" s="1" t="s">
        <v>32</v>
      </c>
      <c r="B177" s="1" t="s">
        <v>1923</v>
      </c>
      <c r="C177" s="1">
        <v>9.7020405E7</v>
      </c>
      <c r="D177" s="1" t="s">
        <v>1924</v>
      </c>
      <c r="E177" s="1">
        <v>2885.0</v>
      </c>
      <c r="F177" s="1" t="s">
        <v>1925</v>
      </c>
      <c r="G177" s="1" t="s">
        <v>1611</v>
      </c>
      <c r="H177" s="1" t="s">
        <v>226</v>
      </c>
      <c r="I177" s="1" t="s">
        <v>1926</v>
      </c>
      <c r="J177" s="1" t="s">
        <v>1685</v>
      </c>
      <c r="K177" s="1">
        <v>5.530250006E9</v>
      </c>
      <c r="L177" s="1">
        <v>5.1995197479E10</v>
      </c>
      <c r="M177" s="1" t="s">
        <v>1142</v>
      </c>
      <c r="O177" s="1" t="b">
        <v>0</v>
      </c>
      <c r="P177" s="12">
        <v>0.4166666666666667</v>
      </c>
      <c r="Q177" s="12">
        <v>0.9166666666666666</v>
      </c>
      <c r="R177" s="1" t="s">
        <v>1929</v>
      </c>
      <c r="S177" s="1" t="s">
        <v>1930</v>
      </c>
      <c r="T177" s="1" t="s">
        <v>51</v>
      </c>
      <c r="U177" s="5">
        <v>46060.68701388889</v>
      </c>
    </row>
    <row r="178" ht="15.75" customHeight="1">
      <c r="A178" s="1" t="s">
        <v>32</v>
      </c>
      <c r="B178" s="1" t="s">
        <v>1931</v>
      </c>
      <c r="C178" s="1">
        <v>9.51109E7</v>
      </c>
      <c r="D178" s="1" t="s">
        <v>1934</v>
      </c>
      <c r="E178" s="1">
        <v>2780.0</v>
      </c>
      <c r="F178" s="1" t="s">
        <v>1935</v>
      </c>
      <c r="G178" s="1" t="s">
        <v>1523</v>
      </c>
      <c r="H178" s="1" t="s">
        <v>226</v>
      </c>
      <c r="I178" s="1" t="s">
        <v>1936</v>
      </c>
      <c r="J178" s="1" t="s">
        <v>1685</v>
      </c>
      <c r="K178" s="1">
        <v>5.429918271E9</v>
      </c>
      <c r="L178" s="1" t="s">
        <v>1937</v>
      </c>
      <c r="M178" s="1" t="s">
        <v>1142</v>
      </c>
      <c r="O178" s="1" t="b">
        <v>0</v>
      </c>
      <c r="P178" s="12">
        <v>0.4583333333333333</v>
      </c>
      <c r="Q178" s="12">
        <v>0.9583333333333334</v>
      </c>
      <c r="R178" s="1" t="s">
        <v>1938</v>
      </c>
      <c r="S178" s="1" t="s">
        <v>1939</v>
      </c>
      <c r="T178" s="1" t="s">
        <v>51</v>
      </c>
      <c r="U178" s="5">
        <v>46107.5405840625</v>
      </c>
    </row>
    <row r="179" ht="15.75" customHeight="1">
      <c r="A179" s="1" t="s">
        <v>32</v>
      </c>
      <c r="B179" s="1" t="s">
        <v>1942</v>
      </c>
      <c r="C179" s="1" t="s">
        <v>1943</v>
      </c>
      <c r="D179" s="1" t="s">
        <v>1944</v>
      </c>
      <c r="E179" s="1">
        <v>153.0</v>
      </c>
      <c r="F179" s="1" t="s">
        <v>1945</v>
      </c>
      <c r="G179" s="1" t="s">
        <v>1946</v>
      </c>
      <c r="H179" s="1" t="s">
        <v>1947</v>
      </c>
      <c r="I179" s="1" t="s">
        <v>1948</v>
      </c>
      <c r="J179" s="1" t="s">
        <v>1950</v>
      </c>
      <c r="L179" s="1" t="s">
        <v>1952</v>
      </c>
      <c r="O179" s="1" t="b">
        <v>0</v>
      </c>
      <c r="P179" s="12">
        <v>0.375</v>
      </c>
      <c r="Q179" s="12">
        <v>0.9166666666666666</v>
      </c>
      <c r="T179" s="1" t="s">
        <v>51</v>
      </c>
      <c r="U179" s="5">
        <v>46108.44586796296</v>
      </c>
    </row>
    <row r="180" ht="15.75" customHeight="1">
      <c r="A180" s="1" t="s">
        <v>32</v>
      </c>
      <c r="B180" s="1" t="s">
        <v>1953</v>
      </c>
      <c r="C180" s="1" t="s">
        <v>1954</v>
      </c>
      <c r="D180" s="1" t="s">
        <v>1956</v>
      </c>
      <c r="E180" s="1">
        <v>800.0</v>
      </c>
      <c r="F180" s="1" t="s">
        <v>1957</v>
      </c>
      <c r="G180" s="1" t="s">
        <v>1958</v>
      </c>
      <c r="H180" s="1" t="s">
        <v>1947</v>
      </c>
      <c r="I180" s="1" t="s">
        <v>1960</v>
      </c>
      <c r="J180" s="1" t="s">
        <v>1950</v>
      </c>
      <c r="L180" s="1" t="s">
        <v>1961</v>
      </c>
      <c r="O180" s="1" t="b">
        <v>0</v>
      </c>
      <c r="P180" s="12">
        <v>0.375</v>
      </c>
      <c r="Q180" s="12">
        <v>0.9166666666666666</v>
      </c>
      <c r="T180" s="1" t="s">
        <v>51</v>
      </c>
      <c r="U180" s="5">
        <v>46108.44477217593</v>
      </c>
    </row>
    <row r="181" ht="15.75" customHeight="1">
      <c r="A181" s="1" t="s">
        <v>32</v>
      </c>
      <c r="B181" s="1" t="s">
        <v>1962</v>
      </c>
      <c r="C181" s="1" t="s">
        <v>1963</v>
      </c>
      <c r="D181" s="1" t="s">
        <v>1964</v>
      </c>
      <c r="E181" s="1">
        <v>800.0</v>
      </c>
      <c r="F181" s="1" t="s">
        <v>1966</v>
      </c>
      <c r="G181" s="1" t="s">
        <v>1967</v>
      </c>
      <c r="H181" s="1" t="s">
        <v>1947</v>
      </c>
      <c r="I181" s="1" t="s">
        <v>1968</v>
      </c>
      <c r="J181" s="1" t="s">
        <v>1950</v>
      </c>
      <c r="L181" s="1" t="s">
        <v>1969</v>
      </c>
      <c r="O181" s="1" t="b">
        <v>0</v>
      </c>
      <c r="P181" s="12">
        <v>0.4166666666666667</v>
      </c>
      <c r="Q181" s="12">
        <v>0.9166666666666666</v>
      </c>
      <c r="T181" s="1" t="s">
        <v>51</v>
      </c>
      <c r="U181" s="5">
        <v>46108.4451259375</v>
      </c>
    </row>
    <row r="182" ht="15.75" customHeight="1">
      <c r="A182" s="1" t="s">
        <v>32</v>
      </c>
      <c r="B182" s="1" t="s">
        <v>1971</v>
      </c>
      <c r="C182" s="1" t="s">
        <v>1972</v>
      </c>
      <c r="D182" s="1" t="s">
        <v>1973</v>
      </c>
      <c r="E182" s="1">
        <v>175.0</v>
      </c>
      <c r="F182" s="1" t="s">
        <v>1974</v>
      </c>
      <c r="G182" s="1" t="s">
        <v>1967</v>
      </c>
      <c r="H182" s="1" t="s">
        <v>1947</v>
      </c>
      <c r="I182" s="1" t="s">
        <v>1975</v>
      </c>
      <c r="J182" s="1" t="s">
        <v>1950</v>
      </c>
      <c r="L182" s="1" t="s">
        <v>1976</v>
      </c>
      <c r="O182" s="1" t="b">
        <v>0</v>
      </c>
      <c r="P182" s="12">
        <v>0.3333333333333333</v>
      </c>
      <c r="Q182" s="12">
        <v>0.75</v>
      </c>
      <c r="T182" s="1" t="s">
        <v>51</v>
      </c>
      <c r="U182" s="5">
        <v>46108.44529524306</v>
      </c>
    </row>
    <row r="183" ht="15.75" customHeight="1">
      <c r="A183" s="1" t="s">
        <v>32</v>
      </c>
      <c r="B183" s="1" t="s">
        <v>1978</v>
      </c>
      <c r="C183" s="1" t="s">
        <v>1979</v>
      </c>
      <c r="D183" s="1" t="s">
        <v>1980</v>
      </c>
      <c r="E183" s="1">
        <v>152.0</v>
      </c>
      <c r="F183" s="1" t="s">
        <v>1982</v>
      </c>
      <c r="G183" s="1" t="s">
        <v>1958</v>
      </c>
      <c r="H183" s="1" t="s">
        <v>1947</v>
      </c>
      <c r="I183" s="1" t="s">
        <v>1983</v>
      </c>
      <c r="J183" s="1" t="s">
        <v>1950</v>
      </c>
      <c r="L183" s="1" t="s">
        <v>1984</v>
      </c>
      <c r="O183" s="1" t="b">
        <v>0</v>
      </c>
      <c r="P183" s="12">
        <v>0.3333333333333333</v>
      </c>
      <c r="Q183" s="12">
        <v>0.75</v>
      </c>
      <c r="T183" s="1" t="s">
        <v>51</v>
      </c>
      <c r="U183" s="5">
        <v>46108.44548159722</v>
      </c>
    </row>
    <row r="184" ht="15.75" customHeight="1">
      <c r="A184" s="1" t="s">
        <v>32</v>
      </c>
      <c r="B184" s="1" t="s">
        <v>1986</v>
      </c>
      <c r="C184" s="1" t="s">
        <v>1987</v>
      </c>
      <c r="D184" s="1" t="s">
        <v>1988</v>
      </c>
      <c r="E184" s="1">
        <v>777.0</v>
      </c>
      <c r="F184" s="1" t="s">
        <v>1989</v>
      </c>
      <c r="G184" s="1" t="s">
        <v>1990</v>
      </c>
      <c r="H184" s="1" t="s">
        <v>1947</v>
      </c>
      <c r="I184" s="1" t="s">
        <v>1991</v>
      </c>
      <c r="J184" s="1" t="s">
        <v>1993</v>
      </c>
      <c r="K184" s="1" t="s">
        <v>1995</v>
      </c>
      <c r="O184" s="1" t="b">
        <v>0</v>
      </c>
      <c r="P184" s="12">
        <v>0.375</v>
      </c>
      <c r="Q184" s="12">
        <v>0.9166666666666666</v>
      </c>
      <c r="T184" s="1" t="s">
        <v>51</v>
      </c>
      <c r="U184" s="5">
        <v>46107.62231322916</v>
      </c>
    </row>
    <row r="185" ht="15.75" customHeight="1">
      <c r="A185" s="1" t="s">
        <v>32</v>
      </c>
      <c r="B185" s="1" t="s">
        <v>1997</v>
      </c>
      <c r="C185" s="1" t="s">
        <v>1999</v>
      </c>
      <c r="D185" s="1" t="s">
        <v>2000</v>
      </c>
      <c r="E185" s="1">
        <v>153.0</v>
      </c>
      <c r="F185" s="1" t="s">
        <v>1945</v>
      </c>
      <c r="G185" s="1" t="s">
        <v>1946</v>
      </c>
      <c r="H185" s="1" t="s">
        <v>1947</v>
      </c>
      <c r="I185" s="1" t="s">
        <v>2001</v>
      </c>
      <c r="J185" s="1" t="s">
        <v>1993</v>
      </c>
      <c r="K185" s="1" t="s">
        <v>2002</v>
      </c>
      <c r="O185" s="1" t="b">
        <v>0</v>
      </c>
      <c r="P185" s="12">
        <v>0.375</v>
      </c>
      <c r="Q185" s="12">
        <v>0.9166666666666666</v>
      </c>
      <c r="T185" s="1" t="s">
        <v>51</v>
      </c>
      <c r="U185" s="5">
        <v>46107.62453761574</v>
      </c>
    </row>
    <row r="186" ht="15.75" customHeight="1">
      <c r="A186" s="1" t="s">
        <v>32</v>
      </c>
      <c r="B186" s="1" t="s">
        <v>2005</v>
      </c>
      <c r="C186" s="1" t="s">
        <v>2006</v>
      </c>
      <c r="D186" s="1" t="s">
        <v>2007</v>
      </c>
      <c r="E186" s="1">
        <v>251.0</v>
      </c>
      <c r="F186" s="1" t="s">
        <v>2008</v>
      </c>
      <c r="G186" s="1" t="s">
        <v>1946</v>
      </c>
      <c r="H186" s="1" t="s">
        <v>1947</v>
      </c>
      <c r="I186" s="1" t="s">
        <v>2009</v>
      </c>
      <c r="J186" s="1" t="s">
        <v>1993</v>
      </c>
      <c r="K186" s="1" t="s">
        <v>2010</v>
      </c>
      <c r="L186" s="1" t="s">
        <v>2011</v>
      </c>
      <c r="O186" s="1" t="b">
        <v>0</v>
      </c>
      <c r="P186" s="12">
        <v>0.375</v>
      </c>
      <c r="Q186" s="12">
        <v>0.9166666666666666</v>
      </c>
      <c r="T186" s="1" t="s">
        <v>51</v>
      </c>
      <c r="U186" s="5">
        <v>46107.62533309028</v>
      </c>
    </row>
    <row r="187" ht="15.75" customHeight="1">
      <c r="A187" s="1" t="s">
        <v>497</v>
      </c>
      <c r="O187" s="1" t="b">
        <v>0</v>
      </c>
      <c r="T187" s="1" t="s">
        <v>51</v>
      </c>
      <c r="U187" s="5">
        <v>46107.62643875</v>
      </c>
    </row>
    <row r="188" ht="15.75" customHeight="1">
      <c r="A188" s="1" t="s">
        <v>497</v>
      </c>
      <c r="O188" s="1" t="b">
        <v>0</v>
      </c>
      <c r="T188" s="1" t="s">
        <v>51</v>
      </c>
      <c r="U188" s="5">
        <v>46107.62641951389</v>
      </c>
    </row>
    <row r="189" ht="15.75" customHeight="1"/>
    <row r="190" ht="15.75" customHeight="1">
      <c r="B190" s="1" t="s">
        <v>2015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937</v>
      </c>
      <c r="C2" s="1" t="s">
        <v>940</v>
      </c>
      <c r="D2" s="1" t="s">
        <v>941</v>
      </c>
      <c r="E2" s="1" t="s">
        <v>942</v>
      </c>
      <c r="F2" s="1" t="s">
        <v>943</v>
      </c>
      <c r="G2" s="1" t="s">
        <v>945</v>
      </c>
      <c r="H2" s="1" t="s">
        <v>948</v>
      </c>
      <c r="I2" s="1" t="s">
        <v>949</v>
      </c>
      <c r="J2" s="1" t="s">
        <v>950</v>
      </c>
      <c r="K2" s="1" t="s">
        <v>951</v>
      </c>
      <c r="L2" s="1" t="s">
        <v>954</v>
      </c>
      <c r="M2" s="1" t="s">
        <v>956</v>
      </c>
      <c r="N2" s="1" t="s">
        <v>959</v>
      </c>
      <c r="O2" s="1" t="s">
        <v>960</v>
      </c>
      <c r="P2" s="1" t="s">
        <v>962</v>
      </c>
      <c r="Q2" s="1" t="s">
        <v>963</v>
      </c>
      <c r="R2" s="1" t="s">
        <v>965</v>
      </c>
      <c r="S2" s="1" t="s">
        <v>966</v>
      </c>
      <c r="T2" s="1" t="s">
        <v>968</v>
      </c>
      <c r="U2" s="1" t="s">
        <v>970</v>
      </c>
      <c r="V2" s="1" t="s">
        <v>971</v>
      </c>
      <c r="W2" s="1" t="s">
        <v>972</v>
      </c>
      <c r="X2" s="1" t="s">
        <v>973</v>
      </c>
      <c r="Y2" s="1" t="s">
        <v>975</v>
      </c>
      <c r="Z2" s="1" t="s">
        <v>977</v>
      </c>
    </row>
    <row r="3">
      <c r="B3" s="1">
        <v>2.0</v>
      </c>
      <c r="C3" s="1" t="s">
        <v>978</v>
      </c>
      <c r="D3" s="1" t="s">
        <v>217</v>
      </c>
      <c r="E3" s="1" t="s">
        <v>34</v>
      </c>
      <c r="F3" s="1">
        <v>5.0915875001244E13</v>
      </c>
      <c r="G3" s="1">
        <v>1.2556661111E11</v>
      </c>
      <c r="H3" s="1">
        <v>15.0</v>
      </c>
      <c r="I3" s="1">
        <v>1.0</v>
      </c>
      <c r="J3" s="1">
        <v>1.221026E7</v>
      </c>
      <c r="K3" s="1" t="s">
        <v>41</v>
      </c>
      <c r="L3" s="1" t="s">
        <v>271</v>
      </c>
      <c r="M3" s="1" t="s">
        <v>39</v>
      </c>
      <c r="N3" s="1">
        <v>344.0</v>
      </c>
      <c r="O3" s="1" t="s">
        <v>258</v>
      </c>
      <c r="P3" s="1" t="s">
        <v>988</v>
      </c>
      <c r="Q3" s="1" t="s">
        <v>990</v>
      </c>
      <c r="R3" s="1" t="s">
        <v>254</v>
      </c>
      <c r="S3" s="1" t="s">
        <v>254</v>
      </c>
      <c r="T3" s="1" t="s">
        <v>173</v>
      </c>
      <c r="U3" s="1" t="s">
        <v>298</v>
      </c>
      <c r="V3" s="1" t="s">
        <v>295</v>
      </c>
      <c r="W3" s="1" t="s">
        <v>252</v>
      </c>
      <c r="X3" s="1" t="s">
        <v>994</v>
      </c>
      <c r="Y3" s="1">
        <v>550.0</v>
      </c>
      <c r="Z3" s="1" t="s">
        <v>49</v>
      </c>
    </row>
    <row r="4">
      <c r="B4" s="1">
        <v>3.0</v>
      </c>
      <c r="C4" s="1" t="s">
        <v>978</v>
      </c>
      <c r="D4" s="1" t="s">
        <v>387</v>
      </c>
      <c r="E4" s="1" t="s">
        <v>52</v>
      </c>
      <c r="F4" s="1">
        <v>5.4237938000159E13</v>
      </c>
      <c r="G4" s="1">
        <v>6.45132611118E11</v>
      </c>
      <c r="H4" s="1">
        <v>15.0</v>
      </c>
      <c r="I4" s="1">
        <v>2.0</v>
      </c>
      <c r="J4" s="1">
        <v>1.2216E7</v>
      </c>
      <c r="K4" s="1" t="s">
        <v>41</v>
      </c>
      <c r="L4" s="1" t="s">
        <v>271</v>
      </c>
      <c r="M4" s="1" t="s">
        <v>57</v>
      </c>
      <c r="N4" s="1">
        <v>905.0</v>
      </c>
      <c r="O4" s="1" t="s">
        <v>55</v>
      </c>
      <c r="P4" s="1" t="s">
        <v>988</v>
      </c>
      <c r="Q4" s="1" t="s">
        <v>1001</v>
      </c>
      <c r="R4" s="1" t="s">
        <v>254</v>
      </c>
      <c r="S4" s="1" t="s">
        <v>254</v>
      </c>
      <c r="T4" s="1" t="s">
        <v>288</v>
      </c>
      <c r="U4" s="1" t="s">
        <v>298</v>
      </c>
      <c r="V4" s="1" t="s">
        <v>295</v>
      </c>
      <c r="W4" s="1" t="s">
        <v>252</v>
      </c>
      <c r="X4" s="1" t="s">
        <v>994</v>
      </c>
      <c r="Y4" s="1">
        <v>222.0</v>
      </c>
      <c r="Z4" s="1" t="s">
        <v>62</v>
      </c>
    </row>
    <row r="5">
      <c r="B5" s="1">
        <v>7.0</v>
      </c>
      <c r="C5" s="1" t="s">
        <v>978</v>
      </c>
      <c r="D5" s="1" t="s">
        <v>217</v>
      </c>
      <c r="E5" s="1" t="s">
        <v>64</v>
      </c>
      <c r="F5" s="1">
        <v>5.0915875001325E13</v>
      </c>
      <c r="G5" s="1">
        <v>1.25566630116E11</v>
      </c>
      <c r="H5" s="1">
        <v>15.0</v>
      </c>
      <c r="I5" s="1">
        <v>3.0</v>
      </c>
      <c r="J5" s="1">
        <v>1.221026E7</v>
      </c>
      <c r="K5" s="1" t="s">
        <v>41</v>
      </c>
      <c r="L5" s="1" t="s">
        <v>271</v>
      </c>
      <c r="M5" s="1" t="s">
        <v>39</v>
      </c>
      <c r="N5" s="1">
        <v>142.0</v>
      </c>
      <c r="O5" s="1" t="s">
        <v>258</v>
      </c>
      <c r="P5" s="1" t="s">
        <v>988</v>
      </c>
      <c r="Q5" s="1" t="s">
        <v>990</v>
      </c>
      <c r="R5" s="1" t="s">
        <v>254</v>
      </c>
      <c r="S5" s="1" t="s">
        <v>254</v>
      </c>
      <c r="T5" s="1" t="s">
        <v>173</v>
      </c>
      <c r="U5" s="1" t="s">
        <v>298</v>
      </c>
      <c r="V5" s="1" t="s">
        <v>295</v>
      </c>
      <c r="W5" s="1" t="s">
        <v>252</v>
      </c>
      <c r="X5" s="1" t="s">
        <v>994</v>
      </c>
      <c r="Y5" s="1">
        <v>380.0</v>
      </c>
      <c r="Z5" s="1" t="s">
        <v>70</v>
      </c>
    </row>
    <row r="6">
      <c r="B6" s="1">
        <v>8.0</v>
      </c>
      <c r="C6" s="1" t="s">
        <v>978</v>
      </c>
      <c r="D6" s="1" t="s">
        <v>217</v>
      </c>
      <c r="E6" s="1" t="s">
        <v>475</v>
      </c>
      <c r="F6" s="1">
        <v>5.0915875001406E13</v>
      </c>
      <c r="G6" s="1" t="s">
        <v>1021</v>
      </c>
      <c r="H6" s="1">
        <v>15.0</v>
      </c>
      <c r="I6" s="1">
        <v>4.0</v>
      </c>
      <c r="J6" s="1">
        <v>1.232732E7</v>
      </c>
      <c r="K6" s="1" t="s">
        <v>41</v>
      </c>
      <c r="L6" s="1" t="s">
        <v>77</v>
      </c>
      <c r="M6" s="1" t="s">
        <v>39</v>
      </c>
      <c r="N6" s="1">
        <v>141.0</v>
      </c>
      <c r="O6" s="1" t="s">
        <v>482</v>
      </c>
      <c r="P6" s="1" t="s">
        <v>988</v>
      </c>
      <c r="Q6" s="1" t="s">
        <v>990</v>
      </c>
      <c r="R6" s="1" t="s">
        <v>254</v>
      </c>
      <c r="S6" s="1" t="s">
        <v>254</v>
      </c>
      <c r="T6" s="1" t="s">
        <v>173</v>
      </c>
      <c r="U6" s="1" t="s">
        <v>298</v>
      </c>
      <c r="V6" s="1" t="s">
        <v>466</v>
      </c>
      <c r="W6" s="1" t="s">
        <v>252</v>
      </c>
      <c r="X6" s="1" t="s">
        <v>994</v>
      </c>
      <c r="Y6" s="1">
        <v>496.0</v>
      </c>
      <c r="Z6" s="1" t="s">
        <v>82</v>
      </c>
    </row>
    <row r="7">
      <c r="B7" s="1">
        <v>11.0</v>
      </c>
      <c r="C7" s="1" t="s">
        <v>978</v>
      </c>
      <c r="D7" s="1" t="s">
        <v>513</v>
      </c>
      <c r="E7" s="1" t="s">
        <v>85</v>
      </c>
      <c r="F7" s="1">
        <v>7.2014681000158E13</v>
      </c>
      <c r="G7" s="1">
        <v>3.92073624114E11</v>
      </c>
      <c r="H7" s="1">
        <v>15.0</v>
      </c>
      <c r="I7" s="1">
        <v>5.0</v>
      </c>
      <c r="J7" s="1">
        <v>1.2308011E7</v>
      </c>
      <c r="K7" s="1" t="s">
        <v>41</v>
      </c>
      <c r="L7" s="1" t="s">
        <v>77</v>
      </c>
      <c r="M7" s="1" t="s">
        <v>39</v>
      </c>
      <c r="N7" s="1">
        <v>79.0</v>
      </c>
      <c r="O7" s="1" t="s">
        <v>87</v>
      </c>
      <c r="P7" s="1" t="s">
        <v>988</v>
      </c>
      <c r="Q7" s="1" t="s">
        <v>1001</v>
      </c>
      <c r="R7" s="1" t="s">
        <v>254</v>
      </c>
      <c r="S7" s="1" t="s">
        <v>254</v>
      </c>
      <c r="T7" s="1" t="s">
        <v>288</v>
      </c>
      <c r="U7" s="1" t="s">
        <v>298</v>
      </c>
      <c r="V7" s="1" t="s">
        <v>466</v>
      </c>
      <c r="W7" s="1" t="s">
        <v>252</v>
      </c>
      <c r="X7" s="1" t="s">
        <v>994</v>
      </c>
      <c r="Y7" s="1">
        <v>184.0</v>
      </c>
      <c r="Z7" s="1" t="s">
        <v>93</v>
      </c>
    </row>
    <row r="8">
      <c r="B8" s="1">
        <v>17.0</v>
      </c>
      <c r="C8" s="1" t="s">
        <v>978</v>
      </c>
      <c r="D8" s="1" t="s">
        <v>217</v>
      </c>
      <c r="E8" s="1" t="s">
        <v>95</v>
      </c>
      <c r="F8" s="1">
        <v>5.0915875000434E13</v>
      </c>
      <c r="G8" s="1">
        <v>6.45278848113E11</v>
      </c>
      <c r="H8" s="1">
        <v>15.0</v>
      </c>
      <c r="I8" s="1">
        <v>6.0</v>
      </c>
      <c r="J8" s="1">
        <v>1.22159E7</v>
      </c>
      <c r="K8" s="1" t="s">
        <v>41</v>
      </c>
      <c r="L8" s="1" t="s">
        <v>271</v>
      </c>
      <c r="M8" s="1" t="s">
        <v>546</v>
      </c>
      <c r="N8" s="1">
        <v>9403.0</v>
      </c>
      <c r="O8" s="1" t="s">
        <v>98</v>
      </c>
      <c r="P8" s="1" t="s">
        <v>4</v>
      </c>
      <c r="Q8" s="1" t="s">
        <v>990</v>
      </c>
      <c r="R8" s="1" t="s">
        <v>254</v>
      </c>
      <c r="S8" s="1" t="s">
        <v>254</v>
      </c>
      <c r="T8" s="1" t="s">
        <v>173</v>
      </c>
      <c r="U8" s="1" t="s">
        <v>298</v>
      </c>
      <c r="V8" s="1" t="s">
        <v>295</v>
      </c>
      <c r="W8" s="1" t="s">
        <v>252</v>
      </c>
      <c r="X8" s="1" t="s">
        <v>994</v>
      </c>
      <c r="Y8" s="1">
        <v>519.0</v>
      </c>
      <c r="Z8" s="1" t="s">
        <v>104</v>
      </c>
    </row>
    <row r="9">
      <c r="B9" s="1">
        <v>12.0</v>
      </c>
      <c r="C9" s="1" t="s">
        <v>978</v>
      </c>
      <c r="D9" s="1" t="s">
        <v>217</v>
      </c>
      <c r="E9" s="1" t="s">
        <v>107</v>
      </c>
      <c r="F9" s="1">
        <v>5.0915875000353E13</v>
      </c>
      <c r="G9" s="1">
        <v>6.45250010111E11</v>
      </c>
      <c r="H9" s="1">
        <v>15.0</v>
      </c>
      <c r="I9" s="1">
        <v>7.0</v>
      </c>
      <c r="J9" s="1">
        <v>1.2242E7</v>
      </c>
      <c r="K9" s="1" t="s">
        <v>41</v>
      </c>
      <c r="L9" s="1" t="s">
        <v>271</v>
      </c>
      <c r="M9" s="1" t="s">
        <v>576</v>
      </c>
      <c r="N9" s="1">
        <v>2200.0</v>
      </c>
      <c r="O9" s="1" t="s">
        <v>109</v>
      </c>
      <c r="P9" s="1" t="s">
        <v>4</v>
      </c>
      <c r="Q9" s="1" t="s">
        <v>1001</v>
      </c>
      <c r="R9" s="1" t="s">
        <v>254</v>
      </c>
      <c r="S9" s="1" t="s">
        <v>254</v>
      </c>
      <c r="T9" s="1" t="s">
        <v>173</v>
      </c>
      <c r="U9" s="1" t="s">
        <v>298</v>
      </c>
      <c r="V9" s="1" t="s">
        <v>484</v>
      </c>
      <c r="W9" s="1" t="s">
        <v>252</v>
      </c>
      <c r="X9" s="1" t="s">
        <v>994</v>
      </c>
      <c r="Y9" s="1">
        <v>191.0</v>
      </c>
      <c r="Z9" s="1" t="s">
        <v>116</v>
      </c>
    </row>
    <row r="10">
      <c r="B10" s="1">
        <v>177.0</v>
      </c>
      <c r="C10" s="1" t="s">
        <v>978</v>
      </c>
      <c r="D10" s="1" t="s">
        <v>217</v>
      </c>
      <c r="E10" s="1" t="s">
        <v>119</v>
      </c>
      <c r="F10" s="1">
        <v>5.0915875004421E13</v>
      </c>
      <c r="G10" s="1" t="s">
        <v>1072</v>
      </c>
      <c r="H10" s="1">
        <v>15.0</v>
      </c>
      <c r="I10" s="1">
        <v>8.0</v>
      </c>
      <c r="J10" s="1">
        <v>1.509E7</v>
      </c>
      <c r="K10" s="1" t="s">
        <v>41</v>
      </c>
      <c r="L10" s="1" t="s">
        <v>603</v>
      </c>
      <c r="M10" s="1" t="s">
        <v>601</v>
      </c>
      <c r="N10" s="1">
        <v>6363.0</v>
      </c>
      <c r="O10" s="1" t="s">
        <v>122</v>
      </c>
      <c r="P10" s="1" t="s">
        <v>4</v>
      </c>
      <c r="Q10" s="1" t="s">
        <v>990</v>
      </c>
      <c r="R10" s="1" t="s">
        <v>254</v>
      </c>
      <c r="S10" s="1" t="s">
        <v>254</v>
      </c>
      <c r="T10" s="1" t="s">
        <v>173</v>
      </c>
      <c r="U10" s="1" t="s">
        <v>298</v>
      </c>
      <c r="V10" s="1" t="s">
        <v>501</v>
      </c>
      <c r="W10" s="1" t="s">
        <v>252</v>
      </c>
      <c r="X10" s="1" t="s">
        <v>994</v>
      </c>
      <c r="Y10" s="1">
        <v>215.0</v>
      </c>
      <c r="Z10" s="1" t="s">
        <v>133</v>
      </c>
    </row>
    <row r="11">
      <c r="B11" s="1">
        <v>13.0</v>
      </c>
      <c r="C11" s="1" t="s">
        <v>978</v>
      </c>
      <c r="D11" s="1" t="s">
        <v>217</v>
      </c>
      <c r="E11" s="1" t="s">
        <v>118</v>
      </c>
      <c r="F11" s="1">
        <v>5.0915875000191E13</v>
      </c>
      <c r="G11" s="1">
        <v>6.45074462117E11</v>
      </c>
      <c r="H11" s="1">
        <v>15.0</v>
      </c>
      <c r="I11" s="1">
        <v>9.0</v>
      </c>
      <c r="J11" s="1">
        <v>1.2230001E7</v>
      </c>
      <c r="K11" s="1" t="s">
        <v>41</v>
      </c>
      <c r="L11" s="1" t="s">
        <v>271</v>
      </c>
      <c r="M11" s="1" t="s">
        <v>231</v>
      </c>
      <c r="N11" s="1">
        <v>1868.0</v>
      </c>
      <c r="O11" s="1" t="s">
        <v>230</v>
      </c>
      <c r="P11" s="1" t="s">
        <v>988</v>
      </c>
      <c r="Q11" s="1" t="s">
        <v>1001</v>
      </c>
      <c r="R11" s="1" t="s">
        <v>254</v>
      </c>
      <c r="S11" s="1" t="s">
        <v>254</v>
      </c>
      <c r="T11" s="1" t="s">
        <v>173</v>
      </c>
      <c r="U11" s="1" t="s">
        <v>298</v>
      </c>
      <c r="V11" s="1" t="s">
        <v>484</v>
      </c>
      <c r="W11" s="1" t="s">
        <v>252</v>
      </c>
      <c r="X11" s="1" t="s">
        <v>994</v>
      </c>
      <c r="Y11" s="1">
        <v>312.0</v>
      </c>
      <c r="Z11" s="1" t="s">
        <v>148</v>
      </c>
    </row>
    <row r="12">
      <c r="B12" s="1">
        <v>14.0</v>
      </c>
      <c r="C12" s="1" t="s">
        <v>978</v>
      </c>
      <c r="D12" s="1" t="s">
        <v>217</v>
      </c>
      <c r="E12" s="1" t="s">
        <v>664</v>
      </c>
      <c r="F12" s="1">
        <v>5.0915875000515E13</v>
      </c>
      <c r="G12" s="1">
        <v>6.45276604117E11</v>
      </c>
      <c r="H12" s="1">
        <v>15.0</v>
      </c>
      <c r="I12" s="1">
        <v>10.0</v>
      </c>
      <c r="J12" s="1">
        <v>1.223101E7</v>
      </c>
      <c r="K12" s="1" t="s">
        <v>41</v>
      </c>
      <c r="L12" s="1" t="s">
        <v>271</v>
      </c>
      <c r="M12" s="1" t="s">
        <v>673</v>
      </c>
      <c r="N12" s="1">
        <v>1692.0</v>
      </c>
      <c r="O12" s="1" t="s">
        <v>670</v>
      </c>
      <c r="Q12" s="1" t="s">
        <v>1001</v>
      </c>
      <c r="R12" s="1" t="s">
        <v>254</v>
      </c>
      <c r="S12" s="1" t="s">
        <v>254</v>
      </c>
      <c r="T12" s="1" t="s">
        <v>173</v>
      </c>
      <c r="U12" s="1" t="s">
        <v>607</v>
      </c>
      <c r="V12" s="1" t="s">
        <v>434</v>
      </c>
      <c r="W12" s="1" t="s">
        <v>252</v>
      </c>
      <c r="X12" s="1" t="s">
        <v>994</v>
      </c>
      <c r="Y12" s="1">
        <v>1.0</v>
      </c>
    </row>
    <row r="13">
      <c r="B13" s="1">
        <v>74.0</v>
      </c>
      <c r="C13" s="1" t="s">
        <v>978</v>
      </c>
      <c r="D13" s="1" t="s">
        <v>694</v>
      </c>
      <c r="E13" s="1" t="s">
        <v>692</v>
      </c>
      <c r="F13" s="1">
        <v>9.108526000164E12</v>
      </c>
      <c r="G13" s="1">
        <v>6.45514852111E11</v>
      </c>
      <c r="H13" s="1">
        <v>3.0</v>
      </c>
      <c r="I13" s="1">
        <v>11.0</v>
      </c>
      <c r="J13" s="1">
        <v>1.2230001E7</v>
      </c>
      <c r="K13" s="1" t="s">
        <v>41</v>
      </c>
      <c r="L13" s="1" t="s">
        <v>704</v>
      </c>
      <c r="M13" s="1" t="s">
        <v>701</v>
      </c>
      <c r="N13" s="1">
        <v>227.0</v>
      </c>
      <c r="O13" s="1" t="s">
        <v>698</v>
      </c>
      <c r="P13" s="1" t="s">
        <v>4</v>
      </c>
      <c r="Q13" s="1" t="s">
        <v>1001</v>
      </c>
      <c r="R13" s="1" t="s">
        <v>431</v>
      </c>
      <c r="S13" s="1" t="s">
        <v>431</v>
      </c>
      <c r="T13" s="1" t="s">
        <v>327</v>
      </c>
      <c r="U13" s="1" t="s">
        <v>617</v>
      </c>
      <c r="V13" s="1" t="s">
        <v>550</v>
      </c>
      <c r="W13" s="1" t="s">
        <v>252</v>
      </c>
      <c r="X13" s="1" t="s">
        <v>1116</v>
      </c>
    </row>
    <row r="14">
      <c r="B14" s="1">
        <v>19.0</v>
      </c>
      <c r="C14" s="1" t="s">
        <v>978</v>
      </c>
      <c r="D14" s="1" t="s">
        <v>724</v>
      </c>
      <c r="E14" s="1" t="s">
        <v>168</v>
      </c>
      <c r="F14" s="1">
        <v>2.139784000169E12</v>
      </c>
      <c r="G14" s="1">
        <v>6.45257479118E11</v>
      </c>
      <c r="H14" s="1">
        <v>3.0</v>
      </c>
      <c r="I14" s="1">
        <v>12.0</v>
      </c>
      <c r="J14" s="1">
        <v>1.221658E7</v>
      </c>
      <c r="K14" s="1" t="s">
        <v>41</v>
      </c>
      <c r="L14" s="1" t="s">
        <v>704</v>
      </c>
      <c r="M14" s="1" t="s">
        <v>546</v>
      </c>
      <c r="N14" s="1">
        <v>9403.0</v>
      </c>
      <c r="O14" s="1" t="s">
        <v>98</v>
      </c>
      <c r="P14" s="1" t="s">
        <v>4</v>
      </c>
      <c r="Q14" s="1" t="s">
        <v>1001</v>
      </c>
      <c r="R14" s="1" t="s">
        <v>431</v>
      </c>
      <c r="S14" s="1" t="s">
        <v>431</v>
      </c>
      <c r="T14" s="1" t="s">
        <v>327</v>
      </c>
      <c r="U14" s="1" t="s">
        <v>617</v>
      </c>
      <c r="V14" s="1" t="s">
        <v>550</v>
      </c>
      <c r="W14" s="1" t="s">
        <v>252</v>
      </c>
      <c r="X14" s="1" t="s">
        <v>1116</v>
      </c>
    </row>
    <row r="15">
      <c r="B15" s="1">
        <v>20.0</v>
      </c>
      <c r="C15" s="1" t="s">
        <v>978</v>
      </c>
      <c r="D15" s="1" t="s">
        <v>745</v>
      </c>
      <c r="E15" s="1" t="s">
        <v>744</v>
      </c>
      <c r="F15" s="1">
        <v>8.371232000168E12</v>
      </c>
      <c r="G15" s="1">
        <v>6.45493846115E11</v>
      </c>
      <c r="H15" s="1">
        <v>3.0</v>
      </c>
      <c r="I15" s="1">
        <v>13.0</v>
      </c>
      <c r="J15" s="1">
        <v>1.2242E7</v>
      </c>
      <c r="K15" s="1" t="s">
        <v>41</v>
      </c>
      <c r="L15" s="1" t="s">
        <v>271</v>
      </c>
      <c r="M15" s="1" t="s">
        <v>576</v>
      </c>
      <c r="N15" s="1">
        <v>2200.0</v>
      </c>
      <c r="O15" s="1" t="s">
        <v>109</v>
      </c>
      <c r="P15" s="1" t="s">
        <v>4</v>
      </c>
      <c r="Q15" s="1" t="s">
        <v>1001</v>
      </c>
      <c r="R15" s="1" t="s">
        <v>431</v>
      </c>
      <c r="S15" s="1" t="s">
        <v>431</v>
      </c>
      <c r="T15" s="1" t="s">
        <v>327</v>
      </c>
      <c r="U15" s="1" t="s">
        <v>617</v>
      </c>
      <c r="V15" s="1" t="s">
        <v>550</v>
      </c>
      <c r="W15" s="1" t="s">
        <v>252</v>
      </c>
      <c r="X15" s="1" t="s">
        <v>1116</v>
      </c>
    </row>
    <row r="16">
      <c r="B16" s="1">
        <v>28.0</v>
      </c>
      <c r="C16" s="1" t="s">
        <v>1150</v>
      </c>
      <c r="D16" s="1" t="s">
        <v>1152</v>
      </c>
      <c r="E16" s="1" t="s">
        <v>1153</v>
      </c>
      <c r="F16" s="1">
        <v>4.356327000151E12</v>
      </c>
      <c r="G16" s="1">
        <v>6.45420166116E11</v>
      </c>
      <c r="H16" s="1">
        <v>23.0</v>
      </c>
      <c r="I16" s="1">
        <v>14.0</v>
      </c>
      <c r="J16" s="1">
        <v>1.2215E7</v>
      </c>
      <c r="K16" s="1" t="s">
        <v>41</v>
      </c>
      <c r="L16" s="1" t="s">
        <v>271</v>
      </c>
      <c r="M16" s="1" t="s">
        <v>1158</v>
      </c>
      <c r="N16" s="1">
        <v>9403.0</v>
      </c>
      <c r="O16" s="1" t="s">
        <v>1159</v>
      </c>
      <c r="R16" s="1" t="s">
        <v>1161</v>
      </c>
      <c r="S16" s="1" t="s">
        <v>1161</v>
      </c>
      <c r="T16" s="1" t="s">
        <v>124</v>
      </c>
      <c r="W16" s="1" t="s">
        <v>857</v>
      </c>
      <c r="X16" s="1" t="s">
        <v>1116</v>
      </c>
    </row>
    <row r="17">
      <c r="B17" s="1">
        <v>21.0</v>
      </c>
      <c r="C17" s="1" t="s">
        <v>978</v>
      </c>
      <c r="D17" s="1" t="s">
        <v>769</v>
      </c>
      <c r="E17" s="1" t="s">
        <v>768</v>
      </c>
      <c r="F17" s="1">
        <v>4.723248000131E12</v>
      </c>
      <c r="G17" s="1">
        <v>6.45428618119E11</v>
      </c>
      <c r="H17" s="1">
        <v>5.0</v>
      </c>
      <c r="I17" s="1">
        <v>15.0</v>
      </c>
      <c r="J17" s="1">
        <v>1.221658E7</v>
      </c>
      <c r="K17" s="1" t="s">
        <v>41</v>
      </c>
      <c r="L17" s="1" t="s">
        <v>271</v>
      </c>
      <c r="M17" s="1" t="s">
        <v>546</v>
      </c>
      <c r="N17" s="1">
        <v>9403.0</v>
      </c>
      <c r="O17" s="1" t="s">
        <v>98</v>
      </c>
      <c r="R17" s="1" t="s">
        <v>543</v>
      </c>
      <c r="S17" s="1" t="s">
        <v>543</v>
      </c>
      <c r="T17" s="1" t="s">
        <v>327</v>
      </c>
      <c r="U17" s="1" t="s">
        <v>617</v>
      </c>
      <c r="V17" s="1" t="s">
        <v>510</v>
      </c>
      <c r="W17" s="1" t="s">
        <v>252</v>
      </c>
      <c r="X17" s="1" t="s">
        <v>1116</v>
      </c>
    </row>
    <row r="18">
      <c r="B18" s="1">
        <v>15.0</v>
      </c>
      <c r="C18" s="1" t="s">
        <v>978</v>
      </c>
      <c r="D18" s="1" t="s">
        <v>217</v>
      </c>
      <c r="E18" s="1" t="s">
        <v>216</v>
      </c>
      <c r="F18" s="1">
        <v>5.0915875001597E13</v>
      </c>
      <c r="G18" s="1" t="s">
        <v>1170</v>
      </c>
      <c r="H18" s="1">
        <v>15.0</v>
      </c>
      <c r="I18" s="1">
        <v>16.0</v>
      </c>
      <c r="J18" s="1">
        <v>1.250015E7</v>
      </c>
      <c r="K18" s="1" t="s">
        <v>41</v>
      </c>
      <c r="L18" s="1" t="s">
        <v>221</v>
      </c>
      <c r="M18" s="1" t="s">
        <v>39</v>
      </c>
      <c r="N18" s="1">
        <v>36.0</v>
      </c>
      <c r="O18" s="1" t="s">
        <v>219</v>
      </c>
      <c r="P18" s="1" t="s">
        <v>988</v>
      </c>
      <c r="Q18" s="1" t="s">
        <v>1001</v>
      </c>
      <c r="R18" s="1" t="s">
        <v>254</v>
      </c>
      <c r="S18" s="1" t="s">
        <v>254</v>
      </c>
      <c r="T18" s="1" t="s">
        <v>173</v>
      </c>
      <c r="U18" s="1" t="s">
        <v>298</v>
      </c>
      <c r="V18" s="1" t="s">
        <v>517</v>
      </c>
      <c r="W18" s="1" t="s">
        <v>252</v>
      </c>
      <c r="X18" s="1" t="s">
        <v>994</v>
      </c>
      <c r="Y18" s="1">
        <v>293.0</v>
      </c>
      <c r="Z18" s="1" t="s">
        <v>227</v>
      </c>
    </row>
    <row r="19">
      <c r="B19" s="1">
        <v>16.0</v>
      </c>
      <c r="C19" s="1" t="s">
        <v>978</v>
      </c>
      <c r="D19" s="1" t="s">
        <v>783</v>
      </c>
      <c r="E19" s="1" t="s">
        <v>782</v>
      </c>
      <c r="F19" s="1">
        <v>5.57408600018E12</v>
      </c>
      <c r="G19" s="1">
        <v>6.45447055111E11</v>
      </c>
      <c r="H19" s="1">
        <v>15.0</v>
      </c>
      <c r="I19" s="1">
        <v>17.0</v>
      </c>
      <c r="J19" s="1">
        <v>1.223E7</v>
      </c>
      <c r="K19" s="1" t="s">
        <v>41</v>
      </c>
      <c r="L19" s="1" t="s">
        <v>271</v>
      </c>
      <c r="M19" s="1" t="s">
        <v>231</v>
      </c>
      <c r="N19" s="1">
        <v>227.0</v>
      </c>
      <c r="O19" s="1" t="s">
        <v>230</v>
      </c>
      <c r="P19" s="1" t="s">
        <v>4</v>
      </c>
      <c r="Q19" s="1" t="s">
        <v>1001</v>
      </c>
      <c r="R19" s="1" t="s">
        <v>254</v>
      </c>
      <c r="S19" s="1" t="s">
        <v>254</v>
      </c>
      <c r="T19" s="1" t="s">
        <v>288</v>
      </c>
      <c r="U19" s="1" t="s">
        <v>298</v>
      </c>
      <c r="V19" s="1" t="s">
        <v>484</v>
      </c>
      <c r="W19" s="1" t="s">
        <v>252</v>
      </c>
      <c r="X19" s="1" t="s">
        <v>994</v>
      </c>
      <c r="Y19" s="1">
        <v>89.0</v>
      </c>
      <c r="Z19" s="1" t="s">
        <v>236</v>
      </c>
    </row>
    <row r="20">
      <c r="B20" s="1">
        <v>22.0</v>
      </c>
      <c r="C20" s="1" t="s">
        <v>978</v>
      </c>
      <c r="D20" s="1" t="s">
        <v>790</v>
      </c>
      <c r="E20" s="1" t="s">
        <v>789</v>
      </c>
      <c r="F20" s="1">
        <v>1.4620014000112E13</v>
      </c>
      <c r="G20" s="1" t="s">
        <v>1191</v>
      </c>
      <c r="H20" s="1">
        <v>3.0</v>
      </c>
      <c r="I20" s="1">
        <v>18.0</v>
      </c>
      <c r="J20" s="1">
        <v>1.2308001E7</v>
      </c>
      <c r="K20" s="1" t="s">
        <v>41</v>
      </c>
      <c r="L20" s="1" t="s">
        <v>77</v>
      </c>
      <c r="M20" s="1" t="s">
        <v>39</v>
      </c>
      <c r="N20" s="1">
        <v>364.0</v>
      </c>
      <c r="O20" s="1" t="s">
        <v>795</v>
      </c>
      <c r="P20" s="1" t="s">
        <v>4</v>
      </c>
      <c r="Q20" s="1" t="s">
        <v>1001</v>
      </c>
      <c r="R20" s="1" t="s">
        <v>431</v>
      </c>
      <c r="S20" s="1" t="s">
        <v>431</v>
      </c>
      <c r="T20" s="1" t="s">
        <v>327</v>
      </c>
      <c r="U20" s="1" t="s">
        <v>617</v>
      </c>
      <c r="V20" s="1" t="s">
        <v>550</v>
      </c>
      <c r="W20" s="1" t="s">
        <v>252</v>
      </c>
      <c r="X20" s="1" t="s">
        <v>1116</v>
      </c>
    </row>
    <row r="21" ht="15.75" customHeight="1">
      <c r="B21" s="1">
        <v>24.0</v>
      </c>
      <c r="C21" s="1" t="s">
        <v>978</v>
      </c>
      <c r="D21" s="1" t="s">
        <v>217</v>
      </c>
      <c r="E21" s="1" t="s">
        <v>250</v>
      </c>
      <c r="F21" s="1">
        <v>5.0915875001678E13</v>
      </c>
      <c r="G21" s="1">
        <v>3.92478401118E11</v>
      </c>
      <c r="H21" s="1">
        <v>15.0</v>
      </c>
      <c r="I21" s="1">
        <v>19.0</v>
      </c>
      <c r="J21" s="1">
        <v>1.2308001E7</v>
      </c>
      <c r="K21" s="1" t="s">
        <v>41</v>
      </c>
      <c r="L21" s="1" t="s">
        <v>77</v>
      </c>
      <c r="M21" s="1" t="s">
        <v>39</v>
      </c>
      <c r="N21" s="1">
        <v>364.0</v>
      </c>
      <c r="O21" s="1" t="s">
        <v>795</v>
      </c>
      <c r="P21" s="1" t="s">
        <v>4</v>
      </c>
      <c r="Q21" s="1" t="s">
        <v>990</v>
      </c>
      <c r="R21" s="1" t="s">
        <v>254</v>
      </c>
      <c r="S21" s="1" t="s">
        <v>254</v>
      </c>
      <c r="T21" s="1" t="s">
        <v>173</v>
      </c>
      <c r="U21" s="1" t="s">
        <v>298</v>
      </c>
      <c r="V21" s="1" t="s">
        <v>466</v>
      </c>
      <c r="W21" s="1" t="s">
        <v>252</v>
      </c>
      <c r="X21" s="1" t="s">
        <v>994</v>
      </c>
      <c r="Y21" s="1">
        <v>219.0</v>
      </c>
      <c r="Z21" s="1" t="s">
        <v>257</v>
      </c>
    </row>
    <row r="22" ht="15.75" customHeight="1">
      <c r="B22" s="1">
        <v>25.0</v>
      </c>
      <c r="C22" s="1" t="s">
        <v>978</v>
      </c>
      <c r="D22" s="1" t="s">
        <v>217</v>
      </c>
      <c r="E22" s="1" t="s">
        <v>260</v>
      </c>
      <c r="F22" s="1">
        <v>5.0915875001759E13</v>
      </c>
      <c r="G22" s="1">
        <v>6.88713174114E11</v>
      </c>
      <c r="H22" s="1">
        <v>15.0</v>
      </c>
      <c r="I22" s="1">
        <v>20.0</v>
      </c>
      <c r="J22" s="1">
        <v>1.20409E7</v>
      </c>
      <c r="K22" s="1" t="s">
        <v>41</v>
      </c>
      <c r="L22" s="1" t="s">
        <v>266</v>
      </c>
      <c r="M22" s="1" t="s">
        <v>834</v>
      </c>
      <c r="N22" s="1">
        <v>1700.0</v>
      </c>
      <c r="O22" s="1" t="s">
        <v>263</v>
      </c>
      <c r="P22" s="1" t="s">
        <v>4</v>
      </c>
      <c r="Q22" s="1" t="s">
        <v>990</v>
      </c>
      <c r="R22" s="1" t="s">
        <v>254</v>
      </c>
      <c r="S22" s="1" t="s">
        <v>254</v>
      </c>
      <c r="T22" s="1" t="s">
        <v>173</v>
      </c>
      <c r="U22" s="1" t="s">
        <v>298</v>
      </c>
      <c r="V22" s="1" t="s">
        <v>389</v>
      </c>
      <c r="W22" s="1" t="s">
        <v>252</v>
      </c>
      <c r="X22" s="1" t="s">
        <v>994</v>
      </c>
      <c r="Y22" s="1">
        <v>289.0</v>
      </c>
      <c r="Z22" s="1" t="s">
        <v>272</v>
      </c>
    </row>
    <row r="23" ht="15.75" customHeight="1">
      <c r="B23" s="1">
        <v>26.0</v>
      </c>
      <c r="C23" s="1" t="s">
        <v>1150</v>
      </c>
      <c r="D23" s="1" t="s">
        <v>1218</v>
      </c>
      <c r="E23" s="1" t="s">
        <v>1220</v>
      </c>
      <c r="F23" s="1">
        <v>6.894399000188E12</v>
      </c>
      <c r="G23" s="1">
        <v>6.88242126113E11</v>
      </c>
      <c r="H23" s="1">
        <v>15.0</v>
      </c>
      <c r="I23" s="1">
        <v>21.0</v>
      </c>
      <c r="J23" s="1">
        <v>1.25053E7</v>
      </c>
      <c r="K23" s="1" t="s">
        <v>41</v>
      </c>
      <c r="L23" s="1" t="s">
        <v>221</v>
      </c>
      <c r="M23" s="1" t="s">
        <v>882</v>
      </c>
      <c r="N23" s="1">
        <v>351.0</v>
      </c>
      <c r="O23" s="1" t="s">
        <v>879</v>
      </c>
      <c r="R23" s="1" t="s">
        <v>254</v>
      </c>
      <c r="S23" s="1" t="s">
        <v>254</v>
      </c>
      <c r="T23" s="1" t="s">
        <v>124</v>
      </c>
      <c r="W23" s="1" t="s">
        <v>857</v>
      </c>
      <c r="X23" s="1" t="s">
        <v>994</v>
      </c>
    </row>
    <row r="24" ht="15.75" customHeight="1">
      <c r="B24" s="1">
        <v>27.0</v>
      </c>
      <c r="C24" s="1" t="s">
        <v>978</v>
      </c>
      <c r="D24" s="1" t="s">
        <v>853</v>
      </c>
      <c r="E24" s="1" t="s">
        <v>274</v>
      </c>
      <c r="F24" s="1">
        <v>5.908530000156E12</v>
      </c>
      <c r="G24" s="1">
        <v>6.45473951112E11</v>
      </c>
      <c r="H24" s="1">
        <v>15.0</v>
      </c>
      <c r="I24" s="1">
        <v>22.0</v>
      </c>
      <c r="J24" s="1">
        <v>1.221026E7</v>
      </c>
      <c r="K24" s="1" t="s">
        <v>41</v>
      </c>
      <c r="L24" s="1" t="s">
        <v>271</v>
      </c>
      <c r="M24" s="1" t="s">
        <v>39</v>
      </c>
      <c r="N24" s="1">
        <v>156.0</v>
      </c>
      <c r="O24" s="1" t="s">
        <v>258</v>
      </c>
      <c r="P24" s="1" t="s">
        <v>988</v>
      </c>
      <c r="Q24" s="1" t="s">
        <v>1001</v>
      </c>
      <c r="R24" s="1" t="s">
        <v>254</v>
      </c>
      <c r="S24" s="1" t="s">
        <v>254</v>
      </c>
      <c r="T24" s="1" t="s">
        <v>288</v>
      </c>
      <c r="U24" s="1" t="s">
        <v>298</v>
      </c>
      <c r="V24" s="1" t="s">
        <v>295</v>
      </c>
      <c r="W24" s="1" t="s">
        <v>857</v>
      </c>
      <c r="X24" s="1" t="s">
        <v>994</v>
      </c>
      <c r="Y24" s="1">
        <v>166.0</v>
      </c>
      <c r="Z24" s="1" t="s">
        <v>280</v>
      </c>
    </row>
    <row r="25" ht="15.75" customHeight="1">
      <c r="B25" s="1">
        <v>30.0</v>
      </c>
      <c r="C25" s="1" t="s">
        <v>978</v>
      </c>
      <c r="D25" s="1" t="s">
        <v>217</v>
      </c>
      <c r="E25" s="1" t="s">
        <v>283</v>
      </c>
      <c r="F25" s="1">
        <v>5.091587500183E13</v>
      </c>
      <c r="G25" s="1">
        <v>3.32292817115E11</v>
      </c>
      <c r="H25" s="1">
        <v>15.0</v>
      </c>
      <c r="I25" s="1">
        <v>23.0</v>
      </c>
      <c r="J25" s="1">
        <v>1.25053E7</v>
      </c>
      <c r="K25" s="1" t="s">
        <v>41</v>
      </c>
      <c r="L25" s="1" t="s">
        <v>221</v>
      </c>
      <c r="M25" s="1" t="s">
        <v>882</v>
      </c>
      <c r="N25" s="1">
        <v>351.0</v>
      </c>
      <c r="O25" s="1" t="s">
        <v>879</v>
      </c>
      <c r="P25" s="1" t="s">
        <v>4</v>
      </c>
      <c r="Q25" s="1" t="s">
        <v>990</v>
      </c>
      <c r="R25" s="1" t="s">
        <v>254</v>
      </c>
      <c r="S25" s="1" t="s">
        <v>254</v>
      </c>
      <c r="T25" s="1" t="s">
        <v>173</v>
      </c>
      <c r="U25" s="1" t="s">
        <v>298</v>
      </c>
      <c r="V25" s="1" t="s">
        <v>517</v>
      </c>
      <c r="W25" s="1" t="s">
        <v>252</v>
      </c>
      <c r="X25" s="1" t="s">
        <v>994</v>
      </c>
      <c r="Y25" s="1">
        <v>249.0</v>
      </c>
      <c r="Z25" s="1" t="s">
        <v>292</v>
      </c>
    </row>
    <row r="26" ht="15.75" customHeight="1">
      <c r="B26" s="1">
        <v>54.0</v>
      </c>
      <c r="C26" s="1" t="s">
        <v>978</v>
      </c>
      <c r="D26" s="1" t="s">
        <v>901</v>
      </c>
      <c r="E26" s="1" t="s">
        <v>900</v>
      </c>
      <c r="F26" s="1">
        <v>8.776666000148E12</v>
      </c>
      <c r="G26" s="1">
        <v>6.4550477811E11</v>
      </c>
      <c r="H26" s="1">
        <v>10.0</v>
      </c>
      <c r="I26" s="1">
        <v>24.0</v>
      </c>
      <c r="J26" s="1">
        <v>1.22102E7</v>
      </c>
      <c r="K26" s="1" t="s">
        <v>41</v>
      </c>
      <c r="L26" s="1" t="s">
        <v>271</v>
      </c>
      <c r="M26" s="1" t="s">
        <v>39</v>
      </c>
      <c r="N26" s="1">
        <v>301.0</v>
      </c>
      <c r="O26" s="1" t="s">
        <v>300</v>
      </c>
      <c r="P26" s="1" t="s">
        <v>988</v>
      </c>
      <c r="Q26" s="1" t="s">
        <v>1001</v>
      </c>
      <c r="R26" s="1" t="s">
        <v>905</v>
      </c>
      <c r="S26" s="1" t="s">
        <v>905</v>
      </c>
      <c r="T26" s="1" t="s">
        <v>310</v>
      </c>
      <c r="U26" s="1" t="s">
        <v>298</v>
      </c>
      <c r="V26" s="1" t="s">
        <v>295</v>
      </c>
      <c r="W26" s="1" t="s">
        <v>252</v>
      </c>
      <c r="X26" s="1" t="s">
        <v>1116</v>
      </c>
      <c r="Y26" s="1">
        <v>381.0</v>
      </c>
    </row>
    <row r="27" ht="15.75" customHeight="1">
      <c r="B27" s="1">
        <v>56.0</v>
      </c>
      <c r="C27" s="1" t="s">
        <v>1150</v>
      </c>
      <c r="D27" s="1" t="s">
        <v>1246</v>
      </c>
      <c r="E27" s="1" t="s">
        <v>1247</v>
      </c>
      <c r="F27" s="1">
        <v>8.919315000149E12</v>
      </c>
      <c r="G27" s="1" t="s">
        <v>1249</v>
      </c>
      <c r="H27" s="1">
        <v>10.0</v>
      </c>
      <c r="I27" s="1">
        <v>25.0</v>
      </c>
      <c r="J27" s="1">
        <v>1.232728E7</v>
      </c>
      <c r="K27" s="1" t="s">
        <v>41</v>
      </c>
      <c r="L27" s="1" t="s">
        <v>77</v>
      </c>
      <c r="M27" s="1" t="s">
        <v>39</v>
      </c>
      <c r="N27" s="1">
        <v>165.0</v>
      </c>
      <c r="O27" s="1" t="s">
        <v>1250</v>
      </c>
      <c r="R27" s="1" t="s">
        <v>905</v>
      </c>
      <c r="S27" s="1" t="s">
        <v>905</v>
      </c>
      <c r="T27" s="1" t="s">
        <v>124</v>
      </c>
      <c r="W27" s="1" t="s">
        <v>857</v>
      </c>
      <c r="X27" s="1" t="s">
        <v>1116</v>
      </c>
    </row>
    <row r="28" ht="15.75" customHeight="1">
      <c r="B28" s="1">
        <v>72.0</v>
      </c>
      <c r="C28" s="1" t="s">
        <v>978</v>
      </c>
      <c r="D28" s="1" t="s">
        <v>217</v>
      </c>
      <c r="E28" s="1" t="s">
        <v>309</v>
      </c>
      <c r="F28" s="1">
        <v>5.0915875001082E13</v>
      </c>
      <c r="G28" s="1">
        <v>1.25007695113E11</v>
      </c>
      <c r="H28" s="1">
        <v>15.0</v>
      </c>
      <c r="I28" s="1">
        <v>26.0</v>
      </c>
      <c r="J28" s="1">
        <v>1.223E7</v>
      </c>
      <c r="K28" s="1" t="s">
        <v>41</v>
      </c>
      <c r="L28" s="1" t="s">
        <v>271</v>
      </c>
      <c r="M28" s="1" t="s">
        <v>231</v>
      </c>
      <c r="N28" s="1">
        <v>227.0</v>
      </c>
      <c r="O28" s="1" t="s">
        <v>230</v>
      </c>
      <c r="P28" s="1" t="s">
        <v>4</v>
      </c>
      <c r="Q28" s="1" t="s">
        <v>990</v>
      </c>
      <c r="R28" s="1" t="s">
        <v>254</v>
      </c>
      <c r="S28" s="1" t="s">
        <v>254</v>
      </c>
      <c r="T28" s="1" t="s">
        <v>173</v>
      </c>
      <c r="U28" s="1" t="s">
        <v>298</v>
      </c>
      <c r="V28" s="1" t="s">
        <v>484</v>
      </c>
      <c r="W28" s="1" t="s">
        <v>252</v>
      </c>
      <c r="X28" s="1" t="s">
        <v>994</v>
      </c>
      <c r="Y28" s="1">
        <v>690.0</v>
      </c>
      <c r="Z28" s="1" t="s">
        <v>314</v>
      </c>
    </row>
    <row r="29" ht="15.75" customHeight="1">
      <c r="B29" s="1">
        <v>75.0</v>
      </c>
      <c r="C29" s="1" t="s">
        <v>1150</v>
      </c>
      <c r="D29" s="1" t="s">
        <v>1264</v>
      </c>
      <c r="E29" s="1" t="s">
        <v>1265</v>
      </c>
      <c r="F29" s="1">
        <v>6.94887600014E12</v>
      </c>
      <c r="G29" s="1">
        <v>6.45514124117E11</v>
      </c>
      <c r="H29" s="1">
        <v>44.0</v>
      </c>
      <c r="I29" s="1">
        <v>27.0</v>
      </c>
      <c r="J29" s="1">
        <v>1.2230001E7</v>
      </c>
      <c r="K29" s="1" t="s">
        <v>41</v>
      </c>
      <c r="L29" s="1" t="s">
        <v>271</v>
      </c>
      <c r="M29" s="1" t="s">
        <v>231</v>
      </c>
      <c r="N29" s="1">
        <v>227.0</v>
      </c>
      <c r="O29" s="1" t="s">
        <v>230</v>
      </c>
      <c r="R29" s="1" t="s">
        <v>1270</v>
      </c>
      <c r="S29" s="1" t="s">
        <v>1270</v>
      </c>
      <c r="T29" s="1" t="s">
        <v>124</v>
      </c>
      <c r="W29" s="1" t="s">
        <v>857</v>
      </c>
      <c r="X29" s="1" t="s">
        <v>1116</v>
      </c>
    </row>
    <row r="30" ht="15.75" customHeight="1">
      <c r="B30" s="1">
        <v>100.0</v>
      </c>
      <c r="C30" s="1" t="s">
        <v>978</v>
      </c>
      <c r="D30" s="1" t="s">
        <v>217</v>
      </c>
      <c r="E30" s="1" t="s">
        <v>986</v>
      </c>
      <c r="F30" s="1">
        <v>5.091587500191E13</v>
      </c>
      <c r="G30" s="1" t="s">
        <v>1274</v>
      </c>
      <c r="H30" s="1">
        <v>15.0</v>
      </c>
      <c r="I30" s="1">
        <v>28.0</v>
      </c>
      <c r="J30" s="1">
        <v>1.201002E7</v>
      </c>
      <c r="K30" s="1" t="s">
        <v>41</v>
      </c>
      <c r="L30" s="1" t="s">
        <v>266</v>
      </c>
      <c r="M30" s="1" t="s">
        <v>39</v>
      </c>
      <c r="N30" s="1">
        <v>54.0</v>
      </c>
      <c r="O30" s="1" t="s">
        <v>992</v>
      </c>
      <c r="P30" s="1" t="s">
        <v>988</v>
      </c>
      <c r="Q30" s="1" t="s">
        <v>1001</v>
      </c>
      <c r="R30" s="1" t="s">
        <v>254</v>
      </c>
      <c r="S30" s="1" t="s">
        <v>254</v>
      </c>
      <c r="T30" s="1" t="s">
        <v>173</v>
      </c>
      <c r="U30" s="1" t="s">
        <v>298</v>
      </c>
      <c r="V30" s="1" t="s">
        <v>389</v>
      </c>
      <c r="W30" s="1" t="s">
        <v>252</v>
      </c>
      <c r="X30" s="1" t="s">
        <v>994</v>
      </c>
      <c r="Y30" s="1">
        <v>350.0</v>
      </c>
      <c r="Z30" s="1" t="s">
        <v>325</v>
      </c>
    </row>
    <row r="31" ht="15.75" customHeight="1">
      <c r="B31" s="1">
        <v>133.0</v>
      </c>
      <c r="C31" s="1" t="s">
        <v>1150</v>
      </c>
      <c r="D31" s="1" t="s">
        <v>1015</v>
      </c>
      <c r="E31" s="1" t="s">
        <v>1282</v>
      </c>
      <c r="F31" s="1">
        <v>5.0915875000787E13</v>
      </c>
      <c r="G31" s="1">
        <v>7.9376469E7</v>
      </c>
      <c r="H31" s="1">
        <v>15.0</v>
      </c>
      <c r="I31" s="1">
        <v>29.0</v>
      </c>
      <c r="J31" s="1">
        <v>2.753532E7</v>
      </c>
      <c r="K31" s="1" t="s">
        <v>209</v>
      </c>
      <c r="L31" s="1" t="s">
        <v>1075</v>
      </c>
      <c r="M31" s="1" t="s">
        <v>1286</v>
      </c>
      <c r="N31" s="1">
        <v>594.0</v>
      </c>
      <c r="O31" s="1" t="s">
        <v>1287</v>
      </c>
      <c r="R31" s="1" t="s">
        <v>254</v>
      </c>
      <c r="S31" s="1" t="s">
        <v>254</v>
      </c>
      <c r="T31" s="1" t="s">
        <v>124</v>
      </c>
      <c r="W31" s="1" t="s">
        <v>857</v>
      </c>
      <c r="X31" s="1" t="s">
        <v>994</v>
      </c>
    </row>
    <row r="32" ht="15.75" customHeight="1">
      <c r="B32" s="1">
        <v>134.0</v>
      </c>
      <c r="C32" s="1" t="s">
        <v>978</v>
      </c>
      <c r="D32" s="1" t="s">
        <v>1015</v>
      </c>
      <c r="E32" s="1" t="s">
        <v>1013</v>
      </c>
      <c r="F32" s="1">
        <v>5.0915875999962E13</v>
      </c>
      <c r="G32" s="1">
        <v>6.45276604117E11</v>
      </c>
      <c r="H32" s="1">
        <v>55.0</v>
      </c>
      <c r="I32" s="1">
        <v>30.0</v>
      </c>
      <c r="J32" s="1">
        <v>1.223521E7</v>
      </c>
      <c r="K32" s="1" t="s">
        <v>41</v>
      </c>
      <c r="L32" s="1" t="s">
        <v>271</v>
      </c>
      <c r="M32" s="1" t="s">
        <v>1023</v>
      </c>
      <c r="N32" s="1">
        <v>123.0</v>
      </c>
      <c r="O32" s="1" t="s">
        <v>1020</v>
      </c>
      <c r="R32" s="1" t="s">
        <v>1018</v>
      </c>
      <c r="S32" s="1" t="s">
        <v>1018</v>
      </c>
      <c r="T32" s="1" t="s">
        <v>124</v>
      </c>
      <c r="U32" s="1" t="s">
        <v>607</v>
      </c>
      <c r="V32" s="1" t="s">
        <v>339</v>
      </c>
      <c r="W32" s="1" t="s">
        <v>252</v>
      </c>
      <c r="X32" s="1" t="s">
        <v>1116</v>
      </c>
      <c r="Y32" s="1">
        <v>1.0</v>
      </c>
    </row>
    <row r="33" ht="15.75" customHeight="1">
      <c r="B33" s="1">
        <v>61.0</v>
      </c>
      <c r="C33" s="1" t="s">
        <v>978</v>
      </c>
      <c r="D33" s="1" t="s">
        <v>1044</v>
      </c>
      <c r="E33" s="1" t="s">
        <v>328</v>
      </c>
      <c r="F33" s="1">
        <v>1.0980442000103E13</v>
      </c>
      <c r="G33" s="1" t="s">
        <v>1302</v>
      </c>
      <c r="H33" s="1">
        <v>12.0</v>
      </c>
      <c r="I33" s="1">
        <v>31.0</v>
      </c>
      <c r="J33" s="1">
        <v>8780500.0</v>
      </c>
      <c r="K33" s="1" t="s">
        <v>41</v>
      </c>
      <c r="L33" s="1" t="s">
        <v>1052</v>
      </c>
      <c r="M33" s="1" t="s">
        <v>1051</v>
      </c>
      <c r="N33" s="1">
        <v>1001.0</v>
      </c>
      <c r="O33" s="1" t="s">
        <v>330</v>
      </c>
      <c r="P33" s="1" t="s">
        <v>4</v>
      </c>
      <c r="Q33" s="1" t="s">
        <v>1001</v>
      </c>
      <c r="R33" s="1" t="s">
        <v>1047</v>
      </c>
      <c r="S33" s="1" t="s">
        <v>1047</v>
      </c>
      <c r="T33" s="1" t="s">
        <v>310</v>
      </c>
      <c r="U33" s="1" t="s">
        <v>298</v>
      </c>
      <c r="V33" s="1" t="s">
        <v>466</v>
      </c>
      <c r="W33" s="1" t="s">
        <v>252</v>
      </c>
      <c r="X33" s="1" t="s">
        <v>1116</v>
      </c>
      <c r="Y33" s="1">
        <v>65.0</v>
      </c>
      <c r="Z33" s="1" t="s">
        <v>340</v>
      </c>
    </row>
    <row r="34" ht="15.75" customHeight="1">
      <c r="B34" s="1">
        <v>64.0</v>
      </c>
      <c r="C34" s="1" t="s">
        <v>978</v>
      </c>
      <c r="D34" s="1" t="s">
        <v>217</v>
      </c>
      <c r="E34" s="1" t="s">
        <v>343</v>
      </c>
      <c r="F34" s="1">
        <v>5.0915875002054E13</v>
      </c>
      <c r="G34" s="1">
        <v>4.5494634111E11</v>
      </c>
      <c r="H34" s="1">
        <v>15.0</v>
      </c>
      <c r="I34" s="1">
        <v>32.0</v>
      </c>
      <c r="J34" s="1">
        <v>8780500.0</v>
      </c>
      <c r="K34" s="1" t="s">
        <v>41</v>
      </c>
      <c r="L34" s="1" t="s">
        <v>1052</v>
      </c>
      <c r="M34" s="1" t="s">
        <v>1051</v>
      </c>
      <c r="N34" s="1">
        <v>1001.0</v>
      </c>
      <c r="O34" s="1" t="s">
        <v>330</v>
      </c>
      <c r="P34" s="1" t="s">
        <v>4</v>
      </c>
      <c r="Q34" s="1" t="s">
        <v>990</v>
      </c>
      <c r="R34" s="1" t="s">
        <v>254</v>
      </c>
      <c r="S34" s="1" t="s">
        <v>254</v>
      </c>
      <c r="T34" s="1" t="s">
        <v>173</v>
      </c>
      <c r="U34" s="1" t="s">
        <v>298</v>
      </c>
      <c r="V34" s="1" t="s">
        <v>466</v>
      </c>
      <c r="W34" s="1" t="s">
        <v>252</v>
      </c>
      <c r="X34" s="1" t="s">
        <v>994</v>
      </c>
      <c r="Y34" s="1">
        <v>319.0</v>
      </c>
      <c r="Z34" s="1" t="s">
        <v>349</v>
      </c>
    </row>
    <row r="35" ht="15.75" customHeight="1">
      <c r="B35" s="1">
        <v>63.0</v>
      </c>
      <c r="C35" s="1" t="s">
        <v>978</v>
      </c>
      <c r="D35" s="1" t="s">
        <v>1089</v>
      </c>
      <c r="E35" s="1" t="s">
        <v>1087</v>
      </c>
      <c r="F35" s="1">
        <v>6.89105870001E13</v>
      </c>
      <c r="G35" s="1">
        <v>4.54122845117E11</v>
      </c>
      <c r="H35" s="1">
        <v>1.0</v>
      </c>
      <c r="I35" s="1">
        <v>33.0</v>
      </c>
      <c r="J35" s="1">
        <v>8710050.0</v>
      </c>
      <c r="K35" s="1" t="s">
        <v>41</v>
      </c>
      <c r="L35" s="1" t="s">
        <v>1052</v>
      </c>
      <c r="M35" s="1" t="s">
        <v>39</v>
      </c>
      <c r="N35" s="1">
        <v>161.0</v>
      </c>
      <c r="O35" s="1" t="s">
        <v>1093</v>
      </c>
      <c r="R35" s="1" t="s">
        <v>124</v>
      </c>
      <c r="S35" s="1" t="s">
        <v>124</v>
      </c>
      <c r="T35" s="1" t="s">
        <v>288</v>
      </c>
      <c r="W35" s="1" t="s">
        <v>857</v>
      </c>
      <c r="X35" s="1" t="s">
        <v>1116</v>
      </c>
    </row>
    <row r="36" ht="15.75" customHeight="1">
      <c r="B36" s="1">
        <v>68.0</v>
      </c>
      <c r="C36" s="1" t="s">
        <v>978</v>
      </c>
      <c r="D36" s="1" t="s">
        <v>1113</v>
      </c>
      <c r="E36" s="1" t="s">
        <v>1110</v>
      </c>
      <c r="F36" s="1">
        <v>3.972679000179E12</v>
      </c>
      <c r="G36" s="1">
        <v>4.54280663117E11</v>
      </c>
      <c r="H36" s="1">
        <v>17.0</v>
      </c>
      <c r="I36" s="1">
        <v>34.0</v>
      </c>
      <c r="J36" s="1">
        <v>8740310.0</v>
      </c>
      <c r="K36" s="1" t="s">
        <v>41</v>
      </c>
      <c r="L36" s="1" t="s">
        <v>1052</v>
      </c>
      <c r="M36" s="1" t="s">
        <v>1121</v>
      </c>
      <c r="N36" s="1">
        <v>135.0</v>
      </c>
      <c r="O36" s="1" t="s">
        <v>1118</v>
      </c>
      <c r="P36" s="1" t="s">
        <v>988</v>
      </c>
      <c r="Q36" s="1" t="s">
        <v>1001</v>
      </c>
      <c r="R36" s="1" t="s">
        <v>359</v>
      </c>
      <c r="S36" s="1" t="s">
        <v>359</v>
      </c>
      <c r="T36" s="1" t="s">
        <v>310</v>
      </c>
      <c r="U36" s="1" t="s">
        <v>595</v>
      </c>
      <c r="V36" s="1" t="s">
        <v>316</v>
      </c>
      <c r="W36" s="1" t="s">
        <v>252</v>
      </c>
      <c r="X36" s="1" t="s">
        <v>1116</v>
      </c>
      <c r="Y36" s="1">
        <v>246.0</v>
      </c>
      <c r="Z36" s="1" t="s">
        <v>364</v>
      </c>
    </row>
    <row r="37" ht="15.75" customHeight="1">
      <c r="B37" s="1">
        <v>70.0</v>
      </c>
      <c r="C37" s="1" t="s">
        <v>978</v>
      </c>
      <c r="D37" s="1" t="s">
        <v>1146</v>
      </c>
      <c r="E37" s="1" t="s">
        <v>1144</v>
      </c>
      <c r="F37" s="1">
        <v>4.43142800014E12</v>
      </c>
      <c r="G37" s="1">
        <v>6.72152080116E11</v>
      </c>
      <c r="H37" s="1">
        <v>17.0</v>
      </c>
      <c r="I37" s="1">
        <v>35.0</v>
      </c>
      <c r="J37" s="1">
        <v>8673110.0</v>
      </c>
      <c r="K37" s="1" t="s">
        <v>41</v>
      </c>
      <c r="L37" s="1" t="s">
        <v>371</v>
      </c>
      <c r="M37" s="1" t="s">
        <v>1155</v>
      </c>
      <c r="N37" s="1">
        <v>34.0</v>
      </c>
      <c r="O37" s="1" t="s">
        <v>369</v>
      </c>
      <c r="P37" s="1" t="s">
        <v>988</v>
      </c>
      <c r="Q37" s="1" t="s">
        <v>1001</v>
      </c>
      <c r="R37" s="1" t="s">
        <v>359</v>
      </c>
      <c r="S37" s="1" t="s">
        <v>359</v>
      </c>
      <c r="T37" s="1" t="s">
        <v>310</v>
      </c>
      <c r="U37" s="1" t="s">
        <v>595</v>
      </c>
      <c r="V37" s="1" t="s">
        <v>316</v>
      </c>
      <c r="W37" s="1" t="s">
        <v>252</v>
      </c>
      <c r="X37" s="1" t="s">
        <v>1116</v>
      </c>
      <c r="Y37" s="1">
        <v>99.0</v>
      </c>
      <c r="Z37" s="1" t="s">
        <v>376</v>
      </c>
    </row>
    <row r="38" ht="15.75" customHeight="1">
      <c r="B38" s="1">
        <v>67.0</v>
      </c>
      <c r="C38" s="1" t="s">
        <v>978</v>
      </c>
      <c r="D38" s="1" t="s">
        <v>1169</v>
      </c>
      <c r="E38" s="1" t="s">
        <v>1168</v>
      </c>
      <c r="F38" s="1">
        <v>2.010526000188E12</v>
      </c>
      <c r="G38" s="1">
        <v>6.72087297112E11</v>
      </c>
      <c r="H38" s="1">
        <v>16.0</v>
      </c>
      <c r="I38" s="1">
        <v>36.0</v>
      </c>
      <c r="J38" s="1">
        <v>8673020.0</v>
      </c>
      <c r="K38" s="1" t="s">
        <v>41</v>
      </c>
      <c r="L38" s="1" t="s">
        <v>371</v>
      </c>
      <c r="M38" s="1" t="s">
        <v>597</v>
      </c>
      <c r="N38" s="1">
        <v>555.0</v>
      </c>
      <c r="O38" s="1" t="s">
        <v>258</v>
      </c>
      <c r="P38" s="1" t="s">
        <v>4</v>
      </c>
      <c r="Q38" s="1" t="s">
        <v>1001</v>
      </c>
      <c r="R38" s="1" t="s">
        <v>385</v>
      </c>
      <c r="S38" s="1" t="s">
        <v>385</v>
      </c>
      <c r="T38" s="1" t="s">
        <v>310</v>
      </c>
      <c r="U38" s="1" t="s">
        <v>595</v>
      </c>
      <c r="V38" s="1" t="s">
        <v>316</v>
      </c>
      <c r="W38" s="1" t="s">
        <v>252</v>
      </c>
      <c r="X38" s="1" t="s">
        <v>1116</v>
      </c>
      <c r="Y38" s="1">
        <v>6325.0</v>
      </c>
      <c r="Z38" s="1" t="s">
        <v>1180</v>
      </c>
    </row>
    <row r="39" ht="15.75" customHeight="1">
      <c r="B39" s="1">
        <v>65.0</v>
      </c>
      <c r="C39" s="1" t="s">
        <v>978</v>
      </c>
      <c r="D39" s="1" t="s">
        <v>1192</v>
      </c>
      <c r="E39" s="1" t="s">
        <v>1189</v>
      </c>
      <c r="F39" s="1">
        <v>5.8760141000192E13</v>
      </c>
      <c r="G39" s="1">
        <v>4.5408936011E11</v>
      </c>
      <c r="H39" s="1">
        <v>16.0</v>
      </c>
      <c r="I39" s="1">
        <v>37.0</v>
      </c>
      <c r="J39" s="1">
        <v>8710410.0</v>
      </c>
      <c r="K39" s="1" t="s">
        <v>41</v>
      </c>
      <c r="L39" s="1" t="s">
        <v>1052</v>
      </c>
      <c r="M39" s="1" t="s">
        <v>39</v>
      </c>
      <c r="N39" s="1">
        <v>171.0</v>
      </c>
      <c r="O39" s="1" t="s">
        <v>1195</v>
      </c>
      <c r="P39" s="1" t="s">
        <v>988</v>
      </c>
      <c r="Q39" s="1" t="s">
        <v>1001</v>
      </c>
      <c r="R39" s="1" t="s">
        <v>385</v>
      </c>
      <c r="S39" s="1" t="s">
        <v>385</v>
      </c>
      <c r="T39" s="1" t="s">
        <v>310</v>
      </c>
      <c r="U39" s="1" t="s">
        <v>595</v>
      </c>
      <c r="V39" s="1" t="s">
        <v>316</v>
      </c>
      <c r="W39" s="1" t="s">
        <v>252</v>
      </c>
      <c r="X39" s="1" t="s">
        <v>1116</v>
      </c>
      <c r="Y39" s="1">
        <v>94.0</v>
      </c>
      <c r="Z39" s="1" t="s">
        <v>1201</v>
      </c>
    </row>
    <row r="40" ht="15.75" customHeight="1">
      <c r="B40" s="1">
        <v>66.0</v>
      </c>
      <c r="C40" s="1" t="s">
        <v>978</v>
      </c>
      <c r="D40" s="1" t="s">
        <v>1216</v>
      </c>
      <c r="E40" s="1" t="s">
        <v>1214</v>
      </c>
      <c r="F40" s="1">
        <v>6.7109132000127E13</v>
      </c>
      <c r="G40" s="1">
        <v>4.54115858114E11</v>
      </c>
      <c r="H40" s="1">
        <v>16.0</v>
      </c>
      <c r="I40" s="1">
        <v>38.0</v>
      </c>
      <c r="J40" s="1">
        <v>8780500.0</v>
      </c>
      <c r="K40" s="1" t="s">
        <v>41</v>
      </c>
      <c r="L40" s="1" t="s">
        <v>1052</v>
      </c>
      <c r="M40" s="1" t="s">
        <v>1051</v>
      </c>
      <c r="N40" s="1">
        <v>1001.0</v>
      </c>
      <c r="O40" s="1" t="s">
        <v>330</v>
      </c>
      <c r="P40" s="1" t="s">
        <v>4</v>
      </c>
      <c r="Q40" s="1" t="s">
        <v>1001</v>
      </c>
      <c r="R40" s="1" t="s">
        <v>385</v>
      </c>
      <c r="S40" s="1" t="s">
        <v>385</v>
      </c>
      <c r="T40" s="1" t="s">
        <v>310</v>
      </c>
      <c r="U40" s="1" t="s">
        <v>595</v>
      </c>
      <c r="V40" s="1" t="s">
        <v>316</v>
      </c>
      <c r="W40" s="1" t="s">
        <v>252</v>
      </c>
      <c r="X40" s="1" t="s">
        <v>1116</v>
      </c>
      <c r="Y40" s="1">
        <v>5077.0</v>
      </c>
      <c r="Z40" s="1" t="s">
        <v>413</v>
      </c>
    </row>
    <row r="41" ht="15.75" customHeight="1">
      <c r="B41" s="1">
        <v>58.0</v>
      </c>
      <c r="C41" s="1" t="s">
        <v>978</v>
      </c>
      <c r="D41" s="1" t="s">
        <v>217</v>
      </c>
      <c r="E41" s="1" t="s">
        <v>1232</v>
      </c>
      <c r="F41" s="1">
        <v>5.0915875002135E13</v>
      </c>
      <c r="G41" s="1">
        <v>4.54946360116E11</v>
      </c>
      <c r="H41" s="1">
        <v>15.0</v>
      </c>
      <c r="I41" s="1">
        <v>39.0</v>
      </c>
      <c r="J41" s="1">
        <v>8710430.0</v>
      </c>
      <c r="K41" s="1" t="s">
        <v>41</v>
      </c>
      <c r="L41" s="1" t="s">
        <v>1052</v>
      </c>
      <c r="M41" s="1" t="s">
        <v>39</v>
      </c>
      <c r="N41" s="1">
        <v>1395.0</v>
      </c>
      <c r="O41" s="1" t="s">
        <v>417</v>
      </c>
      <c r="P41" s="1" t="s">
        <v>988</v>
      </c>
      <c r="Q41" s="1" t="s">
        <v>990</v>
      </c>
      <c r="R41" s="1" t="s">
        <v>254</v>
      </c>
      <c r="S41" s="1" t="s">
        <v>254</v>
      </c>
      <c r="T41" s="1" t="s">
        <v>173</v>
      </c>
      <c r="U41" s="1" t="s">
        <v>298</v>
      </c>
      <c r="V41" s="1" t="s">
        <v>466</v>
      </c>
      <c r="W41" s="1" t="s">
        <v>252</v>
      </c>
      <c r="X41" s="1" t="s">
        <v>994</v>
      </c>
      <c r="Y41" s="1">
        <v>358.0</v>
      </c>
      <c r="Z41" s="1" t="s">
        <v>423</v>
      </c>
    </row>
    <row r="42" ht="15.75" customHeight="1">
      <c r="B42" s="1">
        <v>60.0</v>
      </c>
      <c r="C42" s="1" t="s">
        <v>978</v>
      </c>
      <c r="D42" s="1" t="s">
        <v>1255</v>
      </c>
      <c r="E42" s="1" t="s">
        <v>1254</v>
      </c>
      <c r="F42" s="1">
        <v>2.163422000103E12</v>
      </c>
      <c r="G42" s="1">
        <v>4.54159447119E11</v>
      </c>
      <c r="H42" s="1">
        <v>3.0</v>
      </c>
      <c r="I42" s="1">
        <v>40.0</v>
      </c>
      <c r="J42" s="1">
        <v>8780500.0</v>
      </c>
      <c r="K42" s="1" t="s">
        <v>41</v>
      </c>
      <c r="L42" s="1" t="s">
        <v>1052</v>
      </c>
      <c r="M42" s="1" t="s">
        <v>1051</v>
      </c>
      <c r="N42" s="1">
        <v>1001.0</v>
      </c>
      <c r="O42" s="1" t="s">
        <v>330</v>
      </c>
      <c r="P42" s="1" t="s">
        <v>4</v>
      </c>
      <c r="Q42" s="1" t="s">
        <v>1001</v>
      </c>
      <c r="R42" s="1" t="s">
        <v>431</v>
      </c>
      <c r="S42" s="1" t="s">
        <v>431</v>
      </c>
      <c r="T42" s="1" t="s">
        <v>327</v>
      </c>
      <c r="U42" s="1" t="s">
        <v>595</v>
      </c>
      <c r="V42" s="1" t="s">
        <v>316</v>
      </c>
      <c r="W42" s="1" t="s">
        <v>252</v>
      </c>
      <c r="X42" s="1" t="s">
        <v>1116</v>
      </c>
    </row>
    <row r="43" ht="15.75" customHeight="1">
      <c r="B43" s="1">
        <v>183.0</v>
      </c>
      <c r="C43" s="1" t="s">
        <v>978</v>
      </c>
      <c r="D43" s="1" t="s">
        <v>217</v>
      </c>
      <c r="E43" s="1" t="s">
        <v>437</v>
      </c>
      <c r="F43" s="1">
        <v>5.0915875006203E13</v>
      </c>
      <c r="G43" s="1">
        <v>1.6007868311E11</v>
      </c>
      <c r="H43" s="1">
        <v>15.0</v>
      </c>
      <c r="I43" s="1">
        <v>41.0</v>
      </c>
      <c r="J43" s="1">
        <v>1.50154E7</v>
      </c>
      <c r="K43" s="1" t="s">
        <v>41</v>
      </c>
      <c r="L43" s="1" t="s">
        <v>603</v>
      </c>
      <c r="M43" s="1" t="s">
        <v>39</v>
      </c>
      <c r="N43" s="1">
        <v>2826.0</v>
      </c>
      <c r="O43" s="1" t="s">
        <v>1283</v>
      </c>
      <c r="P43" s="1" t="s">
        <v>988</v>
      </c>
      <c r="Q43" s="1" t="s">
        <v>1001</v>
      </c>
      <c r="R43" s="1" t="s">
        <v>254</v>
      </c>
      <c r="S43" s="1" t="s">
        <v>254</v>
      </c>
      <c r="T43" s="1" t="s">
        <v>173</v>
      </c>
      <c r="U43" s="1" t="s">
        <v>298</v>
      </c>
      <c r="V43" s="1" t="s">
        <v>501</v>
      </c>
      <c r="W43" s="1" t="s">
        <v>252</v>
      </c>
      <c r="X43" s="1" t="s">
        <v>994</v>
      </c>
      <c r="Y43" s="1">
        <v>224.0</v>
      </c>
      <c r="Z43" s="1" t="s">
        <v>445</v>
      </c>
    </row>
    <row r="44" ht="15.75" customHeight="1">
      <c r="B44" s="1">
        <v>69.0</v>
      </c>
      <c r="C44" s="1" t="s">
        <v>978</v>
      </c>
      <c r="D44" s="1" t="s">
        <v>1305</v>
      </c>
      <c r="E44" s="1" t="s">
        <v>447</v>
      </c>
      <c r="F44" s="1">
        <v>8.06223500011E12</v>
      </c>
      <c r="G44" s="1">
        <v>5.46112260117E11</v>
      </c>
      <c r="H44" s="1">
        <v>17.0</v>
      </c>
      <c r="I44" s="1">
        <v>42.0</v>
      </c>
      <c r="J44" s="1">
        <v>8550030.0</v>
      </c>
      <c r="K44" s="1" t="s">
        <v>41</v>
      </c>
      <c r="L44" s="1" t="s">
        <v>452</v>
      </c>
      <c r="M44" s="1" t="s">
        <v>39</v>
      </c>
      <c r="N44" s="1">
        <v>37.0</v>
      </c>
      <c r="O44" s="1" t="s">
        <v>449</v>
      </c>
      <c r="P44" s="1" t="s">
        <v>988</v>
      </c>
      <c r="Q44" s="1" t="s">
        <v>1001</v>
      </c>
      <c r="R44" s="1" t="s">
        <v>359</v>
      </c>
      <c r="S44" s="1" t="s">
        <v>359</v>
      </c>
      <c r="T44" s="1" t="s">
        <v>310</v>
      </c>
      <c r="U44" s="1" t="s">
        <v>595</v>
      </c>
      <c r="V44" s="1" t="s">
        <v>316</v>
      </c>
      <c r="W44" s="1" t="s">
        <v>252</v>
      </c>
      <c r="X44" s="1" t="s">
        <v>1116</v>
      </c>
      <c r="Y44" s="1">
        <v>118.0</v>
      </c>
    </row>
    <row r="45" ht="15.75" customHeight="1">
      <c r="B45" s="1">
        <v>129.0</v>
      </c>
      <c r="C45" s="1" t="s">
        <v>978</v>
      </c>
      <c r="D45" s="1" t="s">
        <v>217</v>
      </c>
      <c r="E45" s="1" t="s">
        <v>1327</v>
      </c>
      <c r="F45" s="1">
        <v>5.0915875002216E13</v>
      </c>
      <c r="G45" s="1" t="s">
        <v>1428</v>
      </c>
      <c r="H45" s="1">
        <v>15.0</v>
      </c>
      <c r="I45" s="1">
        <v>43.0</v>
      </c>
      <c r="J45" s="1">
        <v>8673020.0</v>
      </c>
      <c r="K45" s="1" t="s">
        <v>41</v>
      </c>
      <c r="L45" s="1" t="s">
        <v>371</v>
      </c>
      <c r="M45" s="1" t="s">
        <v>39</v>
      </c>
      <c r="N45" s="1">
        <v>555.0</v>
      </c>
      <c r="O45" s="1" t="s">
        <v>258</v>
      </c>
      <c r="P45" s="1" t="s">
        <v>4</v>
      </c>
      <c r="Q45" s="1" t="s">
        <v>990</v>
      </c>
      <c r="R45" s="1" t="s">
        <v>254</v>
      </c>
      <c r="S45" s="1" t="s">
        <v>254</v>
      </c>
      <c r="T45" s="1" t="s">
        <v>173</v>
      </c>
      <c r="U45" s="1" t="s">
        <v>298</v>
      </c>
      <c r="V45" s="1" t="s">
        <v>466</v>
      </c>
      <c r="W45" s="1" t="s">
        <v>252</v>
      </c>
      <c r="X45" s="1" t="s">
        <v>994</v>
      </c>
      <c r="Y45" s="1">
        <v>170.0</v>
      </c>
      <c r="Z45" s="1" t="s">
        <v>467</v>
      </c>
    </row>
    <row r="46" ht="15.75" customHeight="1">
      <c r="B46" s="1">
        <v>138.0</v>
      </c>
      <c r="C46" s="1" t="s">
        <v>978</v>
      </c>
      <c r="D46" s="1" t="s">
        <v>217</v>
      </c>
      <c r="E46" s="1" t="s">
        <v>469</v>
      </c>
      <c r="F46" s="1">
        <v>5.0915875000868E13</v>
      </c>
      <c r="G46" s="1">
        <v>2.54076248113E11</v>
      </c>
      <c r="H46" s="1">
        <v>15.0</v>
      </c>
      <c r="I46" s="1">
        <v>44.0</v>
      </c>
      <c r="J46" s="1">
        <v>1.1666E7</v>
      </c>
      <c r="K46" s="1" t="s">
        <v>41</v>
      </c>
      <c r="L46" s="1" t="s">
        <v>474</v>
      </c>
      <c r="M46" s="1" t="s">
        <v>1351</v>
      </c>
      <c r="N46" s="1">
        <v>1086.0</v>
      </c>
      <c r="O46" s="1" t="s">
        <v>471</v>
      </c>
      <c r="P46" s="1" t="s">
        <v>4</v>
      </c>
      <c r="Q46" s="1" t="s">
        <v>990</v>
      </c>
      <c r="R46" s="1" t="s">
        <v>254</v>
      </c>
      <c r="S46" s="1" t="s">
        <v>254</v>
      </c>
      <c r="T46" s="1" t="s">
        <v>173</v>
      </c>
      <c r="U46" s="1" t="s">
        <v>298</v>
      </c>
      <c r="V46" s="1" t="s">
        <v>389</v>
      </c>
      <c r="W46" s="1" t="s">
        <v>252</v>
      </c>
      <c r="X46" s="1" t="s">
        <v>994</v>
      </c>
      <c r="Y46" s="1">
        <v>319.0</v>
      </c>
      <c r="Z46" s="1" t="s">
        <v>480</v>
      </c>
    </row>
    <row r="47" ht="15.75" customHeight="1">
      <c r="B47" s="1">
        <v>182.0</v>
      </c>
      <c r="C47" s="1" t="s">
        <v>978</v>
      </c>
      <c r="D47" s="1" t="s">
        <v>217</v>
      </c>
      <c r="E47" s="1" t="s">
        <v>483</v>
      </c>
      <c r="F47" s="1">
        <v>5.0915875006475E13</v>
      </c>
      <c r="G47" s="1">
        <v>1.77718459117E11</v>
      </c>
      <c r="H47" s="1">
        <v>15.0</v>
      </c>
      <c r="I47" s="1">
        <v>45.0</v>
      </c>
      <c r="J47" s="1">
        <v>1.60103E7</v>
      </c>
      <c r="K47" s="1" t="s">
        <v>41</v>
      </c>
      <c r="L47" s="1" t="s">
        <v>1376</v>
      </c>
      <c r="M47" s="1" t="s">
        <v>39</v>
      </c>
      <c r="N47" s="1">
        <v>139.0</v>
      </c>
      <c r="O47" s="1" t="s">
        <v>486</v>
      </c>
      <c r="P47" s="1" t="s">
        <v>988</v>
      </c>
      <c r="Q47" s="1" t="s">
        <v>1001</v>
      </c>
      <c r="R47" s="1" t="s">
        <v>254</v>
      </c>
      <c r="S47" s="1" t="s">
        <v>254</v>
      </c>
      <c r="T47" s="1" t="s">
        <v>173</v>
      </c>
      <c r="U47" s="1" t="s">
        <v>298</v>
      </c>
      <c r="V47" s="1" t="s">
        <v>501</v>
      </c>
      <c r="W47" s="1" t="s">
        <v>252</v>
      </c>
      <c r="X47" s="1" t="s">
        <v>994</v>
      </c>
      <c r="Y47" s="1">
        <v>204.0</v>
      </c>
      <c r="Z47" s="1" t="s">
        <v>493</v>
      </c>
    </row>
    <row r="48" ht="15.75" customHeight="1">
      <c r="B48" s="1">
        <v>140.0</v>
      </c>
      <c r="C48" s="1" t="s">
        <v>978</v>
      </c>
      <c r="D48" s="1" t="s">
        <v>1391</v>
      </c>
      <c r="E48" s="1" t="s">
        <v>1389</v>
      </c>
      <c r="F48" s="1">
        <v>5.0666937000179E13</v>
      </c>
      <c r="G48" s="1">
        <v>6.45400271113E11</v>
      </c>
      <c r="H48" s="1">
        <v>12.0</v>
      </c>
      <c r="I48" s="1">
        <v>46.0</v>
      </c>
      <c r="J48" s="1">
        <v>1.221658E7</v>
      </c>
      <c r="K48" s="1" t="s">
        <v>41</v>
      </c>
      <c r="L48" s="1" t="s">
        <v>271</v>
      </c>
      <c r="M48" s="1" t="s">
        <v>546</v>
      </c>
      <c r="N48" s="1">
        <v>9403.0</v>
      </c>
      <c r="O48" s="1" t="s">
        <v>98</v>
      </c>
      <c r="R48" s="1" t="s">
        <v>1047</v>
      </c>
      <c r="S48" s="1" t="s">
        <v>1047</v>
      </c>
      <c r="T48" s="1" t="s">
        <v>310</v>
      </c>
      <c r="U48" s="1" t="s">
        <v>298</v>
      </c>
      <c r="V48" s="1" t="s">
        <v>434</v>
      </c>
      <c r="W48" s="1" t="s">
        <v>857</v>
      </c>
      <c r="X48" s="1" t="s">
        <v>1116</v>
      </c>
      <c r="Z48" s="1" t="s">
        <v>502</v>
      </c>
    </row>
    <row r="49" ht="15.75" customHeight="1">
      <c r="B49" s="1">
        <v>159.0</v>
      </c>
      <c r="C49" s="1" t="s">
        <v>978</v>
      </c>
      <c r="D49" s="1" t="s">
        <v>1410</v>
      </c>
      <c r="E49" s="1" t="s">
        <v>503</v>
      </c>
      <c r="F49" s="1">
        <v>1.9853593000167E13</v>
      </c>
      <c r="G49" s="1">
        <v>5.28101960116E11</v>
      </c>
      <c r="H49" s="1">
        <v>15.0</v>
      </c>
      <c r="I49" s="1">
        <v>47.0</v>
      </c>
      <c r="J49" s="1">
        <v>1.2421705E7</v>
      </c>
      <c r="K49" s="1" t="s">
        <v>41</v>
      </c>
      <c r="L49" s="1" t="s">
        <v>508</v>
      </c>
      <c r="M49" s="1" t="s">
        <v>1416</v>
      </c>
      <c r="N49" s="1">
        <v>650.0</v>
      </c>
      <c r="O49" s="1" t="s">
        <v>505</v>
      </c>
      <c r="P49" s="1" t="s">
        <v>4</v>
      </c>
      <c r="Q49" s="1" t="s">
        <v>1001</v>
      </c>
      <c r="R49" s="1" t="s">
        <v>254</v>
      </c>
      <c r="S49" s="1" t="s">
        <v>254</v>
      </c>
      <c r="T49" s="1" t="s">
        <v>288</v>
      </c>
      <c r="U49" s="1" t="s">
        <v>298</v>
      </c>
      <c r="V49" s="1" t="s">
        <v>389</v>
      </c>
      <c r="W49" s="1" t="s">
        <v>252</v>
      </c>
      <c r="X49" s="1" t="s">
        <v>994</v>
      </c>
      <c r="Y49" s="1">
        <v>250.0</v>
      </c>
      <c r="Z49" s="1" t="s">
        <v>514</v>
      </c>
    </row>
    <row r="50" ht="15.75" customHeight="1">
      <c r="B50" s="1">
        <v>171.0</v>
      </c>
      <c r="C50" s="1" t="s">
        <v>978</v>
      </c>
      <c r="D50" s="1" t="s">
        <v>217</v>
      </c>
      <c r="E50" s="1" t="s">
        <v>518</v>
      </c>
      <c r="F50" s="1">
        <v>5.0915875002305E13</v>
      </c>
      <c r="G50" s="1" t="s">
        <v>1468</v>
      </c>
      <c r="H50" s="1">
        <v>15.0</v>
      </c>
      <c r="I50" s="1">
        <v>48.0</v>
      </c>
      <c r="J50" s="1">
        <v>1.240047E7</v>
      </c>
      <c r="K50" s="1" t="s">
        <v>41</v>
      </c>
      <c r="L50" s="1" t="s">
        <v>508</v>
      </c>
      <c r="M50" s="1" t="s">
        <v>39</v>
      </c>
      <c r="N50" s="1">
        <v>50.0</v>
      </c>
      <c r="O50" s="1" t="s">
        <v>520</v>
      </c>
      <c r="P50" s="1" t="s">
        <v>988</v>
      </c>
      <c r="Q50" s="1" t="s">
        <v>990</v>
      </c>
      <c r="R50" s="1" t="s">
        <v>254</v>
      </c>
      <c r="S50" s="1" t="s">
        <v>254</v>
      </c>
      <c r="T50" s="1" t="s">
        <v>173</v>
      </c>
      <c r="U50" s="1" t="s">
        <v>298</v>
      </c>
      <c r="V50" s="1" t="s">
        <v>389</v>
      </c>
      <c r="W50" s="1" t="s">
        <v>252</v>
      </c>
      <c r="X50" s="1" t="s">
        <v>994</v>
      </c>
      <c r="Y50" s="1">
        <v>319.0</v>
      </c>
      <c r="Z50" s="1" t="s">
        <v>526</v>
      </c>
    </row>
    <row r="51" ht="15.75" customHeight="1">
      <c r="B51" s="1">
        <v>172.0</v>
      </c>
      <c r="C51" s="1" t="s">
        <v>978</v>
      </c>
      <c r="D51" s="1" t="s">
        <v>217</v>
      </c>
      <c r="E51" s="1" t="s">
        <v>529</v>
      </c>
      <c r="F51" s="1">
        <v>5.0915875002488E13</v>
      </c>
      <c r="G51" s="1">
        <v>4.20213100118E11</v>
      </c>
      <c r="H51" s="1">
        <v>15.0</v>
      </c>
      <c r="I51" s="1">
        <v>49.0</v>
      </c>
      <c r="J51" s="1">
        <v>1.2600005E7</v>
      </c>
      <c r="K51" s="1" t="s">
        <v>41</v>
      </c>
      <c r="L51" s="1" t="s">
        <v>533</v>
      </c>
      <c r="M51" s="1" t="s">
        <v>39</v>
      </c>
      <c r="N51" s="1">
        <v>240.0</v>
      </c>
      <c r="O51" s="1" t="s">
        <v>1457</v>
      </c>
      <c r="P51" s="1" t="s">
        <v>988</v>
      </c>
      <c r="Q51" s="1" t="s">
        <v>990</v>
      </c>
      <c r="R51" s="1" t="s">
        <v>254</v>
      </c>
      <c r="S51" s="1" t="s">
        <v>254</v>
      </c>
      <c r="T51" s="1" t="s">
        <v>173</v>
      </c>
      <c r="U51" s="1" t="s">
        <v>298</v>
      </c>
      <c r="V51" s="1" t="s">
        <v>517</v>
      </c>
      <c r="W51" s="1" t="s">
        <v>252</v>
      </c>
      <c r="X51" s="1" t="s">
        <v>994</v>
      </c>
      <c r="Y51" s="1">
        <v>423.0</v>
      </c>
      <c r="Z51" s="1" t="s">
        <v>537</v>
      </c>
    </row>
    <row r="52" ht="15.75" customHeight="1">
      <c r="B52" s="1">
        <v>173.0</v>
      </c>
      <c r="C52" s="1" t="s">
        <v>978</v>
      </c>
      <c r="D52" s="1" t="s">
        <v>1473</v>
      </c>
      <c r="E52" s="1" t="s">
        <v>1471</v>
      </c>
      <c r="F52" s="1">
        <v>2.140053500012E13</v>
      </c>
      <c r="G52" s="1" t="s">
        <v>1483</v>
      </c>
      <c r="H52" s="1">
        <v>5.0</v>
      </c>
      <c r="I52" s="1">
        <v>50.0</v>
      </c>
      <c r="J52" s="1">
        <v>1.2242E7</v>
      </c>
      <c r="K52" s="1" t="s">
        <v>41</v>
      </c>
      <c r="L52" s="1" t="s">
        <v>271</v>
      </c>
      <c r="M52" s="1" t="s">
        <v>576</v>
      </c>
      <c r="N52" s="1">
        <v>2200.0</v>
      </c>
      <c r="O52" s="1" t="s">
        <v>109</v>
      </c>
      <c r="R52" s="1" t="s">
        <v>543</v>
      </c>
      <c r="S52" s="1" t="s">
        <v>543</v>
      </c>
      <c r="T52" s="1" t="s">
        <v>327</v>
      </c>
      <c r="U52" s="1" t="s">
        <v>617</v>
      </c>
      <c r="V52" s="1" t="s">
        <v>510</v>
      </c>
      <c r="W52" s="1" t="s">
        <v>252</v>
      </c>
      <c r="X52" s="1" t="s">
        <v>1116</v>
      </c>
    </row>
    <row r="53" ht="15.75" customHeight="1">
      <c r="B53" s="1">
        <v>176.0</v>
      </c>
      <c r="C53" s="1" t="s">
        <v>1150</v>
      </c>
      <c r="D53" s="1" t="s">
        <v>1491</v>
      </c>
      <c r="E53" s="1" t="s">
        <v>1494</v>
      </c>
      <c r="F53" s="1">
        <v>2.4034156000151E13</v>
      </c>
      <c r="G53" s="1" t="s">
        <v>1496</v>
      </c>
      <c r="H53" s="1">
        <v>44.0</v>
      </c>
      <c r="I53" s="1">
        <v>51.0</v>
      </c>
      <c r="J53" s="1">
        <v>1.3087901E7</v>
      </c>
      <c r="K53" s="1" t="s">
        <v>41</v>
      </c>
      <c r="L53" s="1" t="s">
        <v>1498</v>
      </c>
      <c r="M53" s="1" t="s">
        <v>1501</v>
      </c>
      <c r="N53" s="1">
        <v>500.0</v>
      </c>
      <c r="O53" s="1" t="s">
        <v>1503</v>
      </c>
      <c r="R53" s="1" t="s">
        <v>1270</v>
      </c>
      <c r="S53" s="1" t="s">
        <v>1270</v>
      </c>
      <c r="T53" s="1" t="s">
        <v>124</v>
      </c>
      <c r="W53" s="1" t="s">
        <v>857</v>
      </c>
      <c r="X53" s="1" t="s">
        <v>1116</v>
      </c>
    </row>
    <row r="54" ht="15.75" customHeight="1">
      <c r="B54" s="1">
        <v>380.0</v>
      </c>
      <c r="C54" s="1" t="s">
        <v>978</v>
      </c>
      <c r="D54" s="1" t="s">
        <v>1492</v>
      </c>
      <c r="E54" s="1" t="s">
        <v>1489</v>
      </c>
      <c r="F54" s="1">
        <v>6.1195652000113E13</v>
      </c>
      <c r="G54" s="1">
        <v>1.54370934116E11</v>
      </c>
      <c r="H54" s="1">
        <v>15.0</v>
      </c>
      <c r="I54" s="1">
        <v>52.0</v>
      </c>
      <c r="J54" s="1">
        <v>1.7011066E7</v>
      </c>
      <c r="K54" s="1" t="s">
        <v>41</v>
      </c>
      <c r="L54" s="1" t="s">
        <v>554</v>
      </c>
      <c r="M54" s="1" t="s">
        <v>1502</v>
      </c>
      <c r="N54" s="1">
        <v>2121.0</v>
      </c>
      <c r="O54" s="1" t="s">
        <v>1499</v>
      </c>
      <c r="P54" s="1" t="s">
        <v>988</v>
      </c>
      <c r="Q54" s="1" t="s">
        <v>1001</v>
      </c>
      <c r="R54" s="1" t="s">
        <v>254</v>
      </c>
      <c r="S54" s="1" t="s">
        <v>254</v>
      </c>
      <c r="T54" s="1" t="s">
        <v>288</v>
      </c>
      <c r="U54" s="1" t="s">
        <v>298</v>
      </c>
      <c r="V54" s="1" t="s">
        <v>410</v>
      </c>
      <c r="W54" s="1" t="s">
        <v>252</v>
      </c>
      <c r="X54" s="1" t="s">
        <v>994</v>
      </c>
      <c r="Y54" s="1">
        <v>170.0</v>
      </c>
      <c r="Z54" s="1" t="s">
        <v>1508</v>
      </c>
    </row>
    <row r="55" ht="15.75" customHeight="1">
      <c r="B55" s="1">
        <v>186.0</v>
      </c>
      <c r="C55" s="1" t="s">
        <v>978</v>
      </c>
      <c r="D55" s="1" t="s">
        <v>1521</v>
      </c>
      <c r="E55" s="1" t="s">
        <v>1519</v>
      </c>
      <c r="F55" s="1">
        <v>4.5151240000125E13</v>
      </c>
      <c r="G55" s="1">
        <v>2.09989220111E11</v>
      </c>
      <c r="H55" s="1">
        <v>15.0</v>
      </c>
      <c r="I55" s="1">
        <v>53.0</v>
      </c>
      <c r="J55" s="1">
        <v>1.70119E7</v>
      </c>
      <c r="K55" s="1" t="s">
        <v>41</v>
      </c>
      <c r="L55" s="1" t="s">
        <v>554</v>
      </c>
      <c r="M55" s="1" t="s">
        <v>1526</v>
      </c>
      <c r="N55" s="1">
        <v>55.0</v>
      </c>
      <c r="O55" s="1" t="s">
        <v>551</v>
      </c>
      <c r="P55" s="1" t="s">
        <v>4</v>
      </c>
      <c r="Q55" s="1" t="s">
        <v>1001</v>
      </c>
      <c r="R55" s="1" t="s">
        <v>254</v>
      </c>
      <c r="S55" s="1" t="s">
        <v>254</v>
      </c>
      <c r="T55" s="1" t="s">
        <v>288</v>
      </c>
      <c r="U55" s="1" t="s">
        <v>298</v>
      </c>
      <c r="V55" s="1" t="s">
        <v>410</v>
      </c>
      <c r="W55" s="1" t="s">
        <v>252</v>
      </c>
      <c r="X55" s="1" t="s">
        <v>994</v>
      </c>
      <c r="Y55" s="1">
        <v>112.0</v>
      </c>
      <c r="Z55" s="1" t="s">
        <v>559</v>
      </c>
    </row>
    <row r="56" ht="15.75" customHeight="1">
      <c r="B56" s="1">
        <v>187.0</v>
      </c>
      <c r="C56" s="1" t="s">
        <v>978</v>
      </c>
      <c r="D56" s="1" t="s">
        <v>217</v>
      </c>
      <c r="E56" s="1" t="s">
        <v>1554</v>
      </c>
      <c r="F56" s="1">
        <v>5.09158750037E13</v>
      </c>
      <c r="G56" s="1">
        <v>1.6007780911E11</v>
      </c>
      <c r="H56" s="1">
        <v>15.0</v>
      </c>
      <c r="I56" s="1">
        <v>54.0</v>
      </c>
      <c r="J56" s="1">
        <v>1.401008E7</v>
      </c>
      <c r="K56" s="1" t="s">
        <v>41</v>
      </c>
      <c r="L56" s="1" t="s">
        <v>565</v>
      </c>
      <c r="M56" s="1" t="s">
        <v>39</v>
      </c>
      <c r="N56" s="1">
        <v>470.0</v>
      </c>
      <c r="O56" s="1" t="s">
        <v>563</v>
      </c>
      <c r="P56" s="1" t="s">
        <v>988</v>
      </c>
      <c r="Q56" s="1" t="s">
        <v>1001</v>
      </c>
      <c r="R56" s="1" t="s">
        <v>254</v>
      </c>
      <c r="S56" s="1" t="s">
        <v>254</v>
      </c>
      <c r="T56" s="1" t="s">
        <v>173</v>
      </c>
      <c r="U56" s="1" t="s">
        <v>298</v>
      </c>
      <c r="V56" s="1" t="s">
        <v>496</v>
      </c>
      <c r="W56" s="1" t="s">
        <v>252</v>
      </c>
      <c r="X56" s="1" t="s">
        <v>994</v>
      </c>
      <c r="Y56" s="1">
        <v>250.0</v>
      </c>
      <c r="Z56" s="1" t="s">
        <v>570</v>
      </c>
    </row>
    <row r="57" ht="15.75" customHeight="1">
      <c r="B57" s="1">
        <v>188.0</v>
      </c>
      <c r="C57" s="1" t="s">
        <v>978</v>
      </c>
      <c r="D57" s="1" t="s">
        <v>1565</v>
      </c>
      <c r="E57" s="1" t="s">
        <v>1567</v>
      </c>
      <c r="F57" s="1">
        <v>3.1795183000102E13</v>
      </c>
      <c r="G57" s="1">
        <v>4.54602085118E11</v>
      </c>
      <c r="H57" s="1">
        <v>46.0</v>
      </c>
      <c r="I57" s="1">
        <v>55.0</v>
      </c>
      <c r="J57" s="1">
        <v>8780910.0</v>
      </c>
      <c r="K57" s="1" t="s">
        <v>41</v>
      </c>
      <c r="L57" s="1" t="s">
        <v>1052</v>
      </c>
      <c r="M57" s="1" t="s">
        <v>332</v>
      </c>
      <c r="N57" s="1">
        <v>1001.0</v>
      </c>
      <c r="O57" s="1" t="s">
        <v>330</v>
      </c>
      <c r="R57" s="1" t="s">
        <v>578</v>
      </c>
      <c r="S57" s="1" t="s">
        <v>578</v>
      </c>
      <c r="T57" s="1" t="s">
        <v>327</v>
      </c>
      <c r="U57" s="1" t="s">
        <v>595</v>
      </c>
      <c r="V57" s="1" t="s">
        <v>316</v>
      </c>
      <c r="W57" s="1" t="s">
        <v>252</v>
      </c>
      <c r="X57" s="1" t="s">
        <v>1116</v>
      </c>
    </row>
    <row r="58" ht="15.75" customHeight="1">
      <c r="B58" s="1">
        <v>189.0</v>
      </c>
      <c r="C58" s="1" t="s">
        <v>978</v>
      </c>
      <c r="D58" s="1" t="s">
        <v>1583</v>
      </c>
      <c r="E58" s="1" t="s">
        <v>1584</v>
      </c>
      <c r="F58" s="1">
        <v>3.3452971000121E13</v>
      </c>
      <c r="G58" s="1">
        <v>7.96889446118E11</v>
      </c>
      <c r="H58" s="1">
        <v>46.0</v>
      </c>
      <c r="I58" s="1">
        <v>56.0</v>
      </c>
      <c r="J58" s="1">
        <v>7042040.0</v>
      </c>
      <c r="K58" s="1" t="s">
        <v>41</v>
      </c>
      <c r="L58" s="1" t="s">
        <v>588</v>
      </c>
      <c r="M58" s="1" t="s">
        <v>587</v>
      </c>
      <c r="N58" s="1">
        <v>295.0</v>
      </c>
      <c r="O58" s="1" t="s">
        <v>1591</v>
      </c>
      <c r="R58" s="1" t="s">
        <v>578</v>
      </c>
      <c r="S58" s="1" t="s">
        <v>578</v>
      </c>
      <c r="T58" s="1" t="s">
        <v>327</v>
      </c>
      <c r="U58" s="1" t="s">
        <v>595</v>
      </c>
      <c r="V58" s="1" t="s">
        <v>316</v>
      </c>
      <c r="W58" s="1" t="s">
        <v>252</v>
      </c>
      <c r="X58" s="1" t="s">
        <v>1116</v>
      </c>
    </row>
    <row r="59" ht="15.75" customHeight="1">
      <c r="B59" s="1">
        <v>190.0</v>
      </c>
      <c r="C59" s="1" t="s">
        <v>978</v>
      </c>
      <c r="D59" s="1" t="s">
        <v>1595</v>
      </c>
      <c r="E59" s="1" t="s">
        <v>1596</v>
      </c>
      <c r="F59" s="1">
        <v>3.3930685000124E13</v>
      </c>
      <c r="G59" s="1">
        <v>6.7242802011E11</v>
      </c>
      <c r="H59" s="1">
        <v>46.0</v>
      </c>
      <c r="I59" s="1">
        <v>57.0</v>
      </c>
      <c r="J59" s="1">
        <v>8673020.0</v>
      </c>
      <c r="K59" s="1" t="s">
        <v>41</v>
      </c>
      <c r="L59" s="1" t="s">
        <v>371</v>
      </c>
      <c r="M59" s="1" t="s">
        <v>597</v>
      </c>
      <c r="N59" s="1">
        <v>555.0</v>
      </c>
      <c r="O59" s="1" t="s">
        <v>258</v>
      </c>
      <c r="R59" s="1" t="s">
        <v>578</v>
      </c>
      <c r="S59" s="1" t="s">
        <v>578</v>
      </c>
      <c r="T59" s="1" t="s">
        <v>327</v>
      </c>
      <c r="U59" s="1" t="s">
        <v>595</v>
      </c>
      <c r="V59" s="1" t="s">
        <v>316</v>
      </c>
      <c r="W59" s="1" t="s">
        <v>252</v>
      </c>
      <c r="X59" s="1" t="s">
        <v>1116</v>
      </c>
    </row>
    <row r="60" ht="15.75" customHeight="1">
      <c r="B60" s="1">
        <v>191.0</v>
      </c>
      <c r="C60" s="1" t="s">
        <v>978</v>
      </c>
      <c r="D60" s="1" t="s">
        <v>217</v>
      </c>
      <c r="E60" s="1" t="s">
        <v>605</v>
      </c>
      <c r="F60" s="1">
        <v>5.0915875006122E13</v>
      </c>
      <c r="G60" s="1">
        <v>1.60078638116E11</v>
      </c>
      <c r="H60" s="1">
        <v>15.0</v>
      </c>
      <c r="I60" s="1">
        <v>58.0</v>
      </c>
      <c r="J60" s="1">
        <v>1.40269E7</v>
      </c>
      <c r="K60" s="1" t="s">
        <v>41</v>
      </c>
      <c r="L60" s="1" t="s">
        <v>565</v>
      </c>
      <c r="M60" s="1" t="s">
        <v>610</v>
      </c>
      <c r="N60" s="1">
        <v>1540.0</v>
      </c>
      <c r="O60" s="1" t="s">
        <v>608</v>
      </c>
      <c r="P60" s="1" t="s">
        <v>4</v>
      </c>
      <c r="Q60" s="1" t="s">
        <v>990</v>
      </c>
      <c r="R60" s="1" t="s">
        <v>254</v>
      </c>
      <c r="S60" s="1" t="s">
        <v>254</v>
      </c>
      <c r="T60" s="1" t="s">
        <v>173</v>
      </c>
      <c r="U60" s="1" t="s">
        <v>298</v>
      </c>
      <c r="V60" s="1" t="s">
        <v>496</v>
      </c>
      <c r="W60" s="1" t="s">
        <v>252</v>
      </c>
      <c r="X60" s="1" t="s">
        <v>994</v>
      </c>
      <c r="Y60" s="1">
        <v>350.0</v>
      </c>
      <c r="Z60" s="1" t="s">
        <v>615</v>
      </c>
    </row>
    <row r="61" ht="15.75" customHeight="1">
      <c r="B61" s="1">
        <v>192.0</v>
      </c>
      <c r="C61" s="1" t="s">
        <v>978</v>
      </c>
      <c r="D61" s="1" t="s">
        <v>1614</v>
      </c>
      <c r="E61" s="1" t="s">
        <v>1615</v>
      </c>
      <c r="F61" s="1">
        <v>3.62048350001E13</v>
      </c>
      <c r="G61" s="1">
        <v>1.28473508113E11</v>
      </c>
      <c r="H61" s="1">
        <v>46.0</v>
      </c>
      <c r="I61" s="1">
        <v>59.0</v>
      </c>
      <c r="J61" s="1">
        <v>3306900.0</v>
      </c>
      <c r="K61" s="1" t="s">
        <v>41</v>
      </c>
      <c r="L61" s="1" t="s">
        <v>623</v>
      </c>
      <c r="M61" s="1" t="s">
        <v>1618</v>
      </c>
      <c r="N61" s="1">
        <v>91.0</v>
      </c>
      <c r="O61" s="1" t="s">
        <v>620</v>
      </c>
      <c r="R61" s="1" t="s">
        <v>578</v>
      </c>
      <c r="S61" s="1" t="s">
        <v>578</v>
      </c>
      <c r="T61" s="1" t="s">
        <v>327</v>
      </c>
      <c r="U61" s="1" t="s">
        <v>595</v>
      </c>
      <c r="V61" s="1" t="s">
        <v>316</v>
      </c>
      <c r="W61" s="1" t="s">
        <v>252</v>
      </c>
      <c r="X61" s="1" t="s">
        <v>1116</v>
      </c>
    </row>
    <row r="62" ht="15.75" customHeight="1">
      <c r="B62" s="1">
        <v>193.0</v>
      </c>
      <c r="C62" s="1" t="s">
        <v>978</v>
      </c>
      <c r="D62" s="1" t="s">
        <v>1625</v>
      </c>
      <c r="E62" s="1" t="s">
        <v>1627</v>
      </c>
      <c r="F62" s="1">
        <v>3.6191797000107E13</v>
      </c>
      <c r="G62" s="1">
        <v>6.72454699113E11</v>
      </c>
      <c r="H62" s="1">
        <v>47.0</v>
      </c>
      <c r="I62" s="1">
        <v>60.0</v>
      </c>
      <c r="J62" s="1">
        <v>8673020.0</v>
      </c>
      <c r="K62" s="1" t="s">
        <v>41</v>
      </c>
      <c r="L62" s="1" t="s">
        <v>371</v>
      </c>
      <c r="M62" s="1" t="s">
        <v>597</v>
      </c>
      <c r="N62" s="1">
        <v>555.0</v>
      </c>
      <c r="O62" s="1" t="s">
        <v>258</v>
      </c>
      <c r="P62" s="1" t="s">
        <v>4</v>
      </c>
      <c r="Q62" s="1" t="s">
        <v>1001</v>
      </c>
      <c r="R62" s="1" t="s">
        <v>632</v>
      </c>
      <c r="S62" s="1" t="s">
        <v>632</v>
      </c>
      <c r="T62" s="1" t="s">
        <v>327</v>
      </c>
      <c r="U62" s="1" t="s">
        <v>595</v>
      </c>
      <c r="V62" s="1" t="s">
        <v>316</v>
      </c>
      <c r="W62" s="1" t="s">
        <v>252</v>
      </c>
      <c r="X62" s="1" t="s">
        <v>1116</v>
      </c>
    </row>
    <row r="63" ht="15.75" customHeight="1">
      <c r="B63" s="1">
        <v>194.0</v>
      </c>
      <c r="C63" s="1" t="s">
        <v>978</v>
      </c>
      <c r="D63" s="1" t="s">
        <v>217</v>
      </c>
      <c r="E63" s="1" t="s">
        <v>638</v>
      </c>
      <c r="F63" s="1">
        <v>5.091587500353E13</v>
      </c>
      <c r="G63" s="1" t="s">
        <v>1639</v>
      </c>
      <c r="H63" s="1">
        <v>15.0</v>
      </c>
      <c r="I63" s="1">
        <v>61.0</v>
      </c>
      <c r="J63" s="1">
        <v>1.3201011E7</v>
      </c>
      <c r="K63" s="1" t="s">
        <v>41</v>
      </c>
      <c r="L63" s="1" t="s">
        <v>643</v>
      </c>
      <c r="M63" s="1" t="s">
        <v>39</v>
      </c>
      <c r="N63" s="1">
        <v>634.0</v>
      </c>
      <c r="O63" s="1" t="s">
        <v>1645</v>
      </c>
      <c r="P63" s="1" t="s">
        <v>988</v>
      </c>
      <c r="Q63" s="1" t="s">
        <v>990</v>
      </c>
      <c r="R63" s="1" t="s">
        <v>254</v>
      </c>
      <c r="S63" s="1" t="s">
        <v>254</v>
      </c>
      <c r="T63" s="1" t="s">
        <v>173</v>
      </c>
      <c r="U63" s="1" t="s">
        <v>298</v>
      </c>
      <c r="V63" s="1" t="s">
        <v>444</v>
      </c>
      <c r="W63" s="1" t="s">
        <v>252</v>
      </c>
      <c r="X63" s="1" t="s">
        <v>994</v>
      </c>
      <c r="Y63" s="1">
        <v>465.0</v>
      </c>
      <c r="Z63" s="1" t="s">
        <v>647</v>
      </c>
    </row>
    <row r="64" ht="15.75" customHeight="1">
      <c r="B64" s="1">
        <v>195.0</v>
      </c>
      <c r="C64" s="1" t="s">
        <v>978</v>
      </c>
      <c r="D64" s="1" t="s">
        <v>217</v>
      </c>
      <c r="E64" s="1" t="s">
        <v>650</v>
      </c>
      <c r="F64" s="1">
        <v>5.0915875004693E13</v>
      </c>
      <c r="G64" s="1">
        <v>1.6007810411E11</v>
      </c>
      <c r="H64" s="1">
        <v>15.0</v>
      </c>
      <c r="I64" s="1">
        <v>62.0</v>
      </c>
      <c r="J64" s="1">
        <v>1.340007E7</v>
      </c>
      <c r="K64" s="1" t="s">
        <v>41</v>
      </c>
      <c r="L64" s="1" t="s">
        <v>654</v>
      </c>
      <c r="M64" s="1" t="s">
        <v>39</v>
      </c>
      <c r="N64" s="1">
        <v>1211.0</v>
      </c>
      <c r="O64" s="1" t="s">
        <v>1656</v>
      </c>
      <c r="P64" s="1" t="s">
        <v>988</v>
      </c>
      <c r="Q64" s="1" t="s">
        <v>1001</v>
      </c>
      <c r="R64" s="1" t="s">
        <v>254</v>
      </c>
      <c r="S64" s="1" t="s">
        <v>254</v>
      </c>
      <c r="T64" s="1" t="s">
        <v>173</v>
      </c>
      <c r="U64" s="1" t="s">
        <v>298</v>
      </c>
      <c r="V64" s="1" t="s">
        <v>444</v>
      </c>
      <c r="W64" s="1" t="s">
        <v>252</v>
      </c>
      <c r="X64" s="1" t="s">
        <v>994</v>
      </c>
      <c r="Y64" s="1">
        <v>322.0</v>
      </c>
      <c r="Z64" s="1" t="s">
        <v>658</v>
      </c>
    </row>
    <row r="65" ht="15.75" customHeight="1">
      <c r="B65" s="1">
        <v>196.0</v>
      </c>
      <c r="C65" s="1" t="s">
        <v>978</v>
      </c>
      <c r="D65" s="1" t="s">
        <v>217</v>
      </c>
      <c r="E65" s="1" t="s">
        <v>660</v>
      </c>
      <c r="F65" s="1">
        <v>5.0915875003611E13</v>
      </c>
      <c r="G65" s="1">
        <v>1.60077507117E11</v>
      </c>
      <c r="H65" s="1">
        <v>15.0</v>
      </c>
      <c r="I65" s="1">
        <v>63.0</v>
      </c>
      <c r="J65" s="1">
        <v>1.801012E7</v>
      </c>
      <c r="K65" s="1" t="s">
        <v>41</v>
      </c>
      <c r="L65" s="1" t="s">
        <v>665</v>
      </c>
      <c r="M65" s="1" t="s">
        <v>39</v>
      </c>
      <c r="N65" s="1">
        <v>264.0</v>
      </c>
      <c r="O65" s="1" t="s">
        <v>662</v>
      </c>
      <c r="P65" s="1" t="s">
        <v>988</v>
      </c>
      <c r="Q65" s="1" t="s">
        <v>1001</v>
      </c>
      <c r="R65" s="1" t="s">
        <v>254</v>
      </c>
      <c r="S65" s="1" t="s">
        <v>254</v>
      </c>
      <c r="T65" s="1" t="s">
        <v>173</v>
      </c>
      <c r="U65" s="1" t="s">
        <v>298</v>
      </c>
      <c r="V65" s="1" t="s">
        <v>444</v>
      </c>
      <c r="W65" s="1" t="s">
        <v>252</v>
      </c>
      <c r="X65" s="1" t="s">
        <v>994</v>
      </c>
      <c r="Y65" s="1">
        <v>488.0</v>
      </c>
      <c r="Z65" s="1" t="s">
        <v>671</v>
      </c>
    </row>
    <row r="66" ht="15.75" customHeight="1">
      <c r="B66" s="1">
        <v>197.0</v>
      </c>
      <c r="C66" s="1" t="s">
        <v>978</v>
      </c>
      <c r="D66" s="1" t="s">
        <v>217</v>
      </c>
      <c r="E66" s="1" t="s">
        <v>674</v>
      </c>
      <c r="F66" s="1">
        <v>5.0915875004855E13</v>
      </c>
      <c r="G66" s="1" t="s">
        <v>1674</v>
      </c>
      <c r="H66" s="1">
        <v>15.0</v>
      </c>
      <c r="I66" s="1">
        <v>64.0</v>
      </c>
      <c r="J66" s="1">
        <v>1.4801295E7</v>
      </c>
      <c r="K66" s="1" t="s">
        <v>41</v>
      </c>
      <c r="L66" s="1" t="s">
        <v>679</v>
      </c>
      <c r="M66" s="1" t="s">
        <v>39</v>
      </c>
      <c r="N66" s="1">
        <v>793.0</v>
      </c>
      <c r="O66" s="1" t="s">
        <v>1679</v>
      </c>
      <c r="P66" s="1" t="s">
        <v>988</v>
      </c>
      <c r="Q66" s="1" t="s">
        <v>1001</v>
      </c>
      <c r="R66" s="1" t="s">
        <v>254</v>
      </c>
      <c r="S66" s="1" t="s">
        <v>254</v>
      </c>
      <c r="T66" s="1" t="s">
        <v>173</v>
      </c>
      <c r="U66" s="1" t="s">
        <v>298</v>
      </c>
      <c r="V66" s="1" t="s">
        <v>366</v>
      </c>
      <c r="W66" s="1" t="s">
        <v>252</v>
      </c>
      <c r="X66" s="1" t="s">
        <v>994</v>
      </c>
      <c r="Y66" s="1">
        <v>295.0</v>
      </c>
      <c r="Z66" s="1" t="s">
        <v>683</v>
      </c>
    </row>
    <row r="67" ht="15.75" customHeight="1">
      <c r="B67" s="1">
        <v>199.0</v>
      </c>
      <c r="C67" s="1" t="s">
        <v>978</v>
      </c>
      <c r="D67" s="1" t="s">
        <v>1687</v>
      </c>
      <c r="E67" s="1" t="s">
        <v>685</v>
      </c>
      <c r="F67" s="1">
        <v>4.897370500186E13</v>
      </c>
      <c r="G67" s="1" t="s">
        <v>1690</v>
      </c>
      <c r="H67" s="1">
        <v>15.0</v>
      </c>
      <c r="I67" s="1">
        <v>65.0</v>
      </c>
      <c r="J67" s="1">
        <v>1.3800185E7</v>
      </c>
      <c r="K67" s="1" t="s">
        <v>41</v>
      </c>
      <c r="L67" s="1" t="s">
        <v>689</v>
      </c>
      <c r="M67" s="1" t="s">
        <v>39</v>
      </c>
      <c r="N67" s="1">
        <v>102.0</v>
      </c>
      <c r="O67" s="1" t="s">
        <v>1695</v>
      </c>
      <c r="P67" s="1" t="s">
        <v>988</v>
      </c>
      <c r="Q67" s="1" t="s">
        <v>1001</v>
      </c>
      <c r="R67" s="1" t="s">
        <v>254</v>
      </c>
      <c r="S67" s="1" t="s">
        <v>254</v>
      </c>
      <c r="T67" s="1" t="s">
        <v>215</v>
      </c>
      <c r="U67" s="1" t="s">
        <v>298</v>
      </c>
      <c r="V67" s="1" t="s">
        <v>366</v>
      </c>
      <c r="W67" s="1" t="s">
        <v>857</v>
      </c>
      <c r="X67" s="1" t="s">
        <v>994</v>
      </c>
      <c r="Y67" s="1">
        <v>210.0</v>
      </c>
      <c r="Z67" s="1" t="s">
        <v>695</v>
      </c>
    </row>
    <row r="68" ht="15.75" customHeight="1">
      <c r="B68" s="1">
        <v>200.0</v>
      </c>
      <c r="C68" s="1" t="s">
        <v>978</v>
      </c>
      <c r="D68" s="1" t="s">
        <v>217</v>
      </c>
      <c r="E68" s="1" t="s">
        <v>697</v>
      </c>
      <c r="F68" s="1">
        <v>5.0915875004006E13</v>
      </c>
      <c r="G68" s="1">
        <v>4.55441173117E11</v>
      </c>
      <c r="H68" s="1">
        <v>15.0</v>
      </c>
      <c r="I68" s="1">
        <v>66.0</v>
      </c>
      <c r="J68" s="1">
        <v>1.3840035E7</v>
      </c>
      <c r="K68" s="1" t="s">
        <v>41</v>
      </c>
      <c r="L68" s="1" t="s">
        <v>702</v>
      </c>
      <c r="M68" s="1" t="s">
        <v>39</v>
      </c>
      <c r="N68" s="1">
        <v>79.0</v>
      </c>
      <c r="O68" s="1" t="s">
        <v>1707</v>
      </c>
      <c r="P68" s="1" t="s">
        <v>988</v>
      </c>
      <c r="Q68" s="1" t="s">
        <v>1001</v>
      </c>
      <c r="R68" s="1" t="s">
        <v>254</v>
      </c>
      <c r="S68" s="1" t="s">
        <v>254</v>
      </c>
      <c r="T68" s="1" t="s">
        <v>173</v>
      </c>
      <c r="U68" s="1" t="s">
        <v>298</v>
      </c>
      <c r="V68" s="1" t="s">
        <v>444</v>
      </c>
      <c r="W68" s="1" t="s">
        <v>252</v>
      </c>
      <c r="X68" s="1" t="s">
        <v>994</v>
      </c>
      <c r="Y68" s="1">
        <v>215.0</v>
      </c>
      <c r="Z68" s="1" t="s">
        <v>708</v>
      </c>
    </row>
    <row r="69" ht="15.75" customHeight="1">
      <c r="B69" s="1">
        <v>201.0</v>
      </c>
      <c r="C69" s="1" t="s">
        <v>978</v>
      </c>
      <c r="D69" s="1" t="s">
        <v>217</v>
      </c>
      <c r="E69" s="1" t="s">
        <v>711</v>
      </c>
      <c r="F69" s="1">
        <v>5.0915875001163E13</v>
      </c>
      <c r="G69" s="1">
        <v>1.25262668119E11</v>
      </c>
      <c r="H69" s="1">
        <v>15.0</v>
      </c>
      <c r="I69" s="1">
        <v>67.0</v>
      </c>
      <c r="J69" s="1">
        <v>1.223505E7</v>
      </c>
      <c r="K69" s="1" t="s">
        <v>41</v>
      </c>
      <c r="L69" s="1" t="s">
        <v>271</v>
      </c>
      <c r="M69" s="1" t="s">
        <v>715</v>
      </c>
      <c r="N69" s="1">
        <v>500.0</v>
      </c>
      <c r="O69" s="1" t="s">
        <v>713</v>
      </c>
      <c r="P69" s="1" t="s">
        <v>4</v>
      </c>
      <c r="Q69" s="1" t="s">
        <v>990</v>
      </c>
      <c r="R69" s="1" t="s">
        <v>254</v>
      </c>
      <c r="S69" s="1" t="s">
        <v>254</v>
      </c>
      <c r="T69" s="1" t="s">
        <v>173</v>
      </c>
      <c r="U69" s="1" t="s">
        <v>298</v>
      </c>
      <c r="V69" s="1" t="s">
        <v>484</v>
      </c>
      <c r="W69" s="1" t="s">
        <v>252</v>
      </c>
      <c r="X69" s="1" t="s">
        <v>994</v>
      </c>
      <c r="Y69" s="1">
        <v>270.0</v>
      </c>
      <c r="Z69" s="1" t="s">
        <v>719</v>
      </c>
    </row>
    <row r="70" ht="15.75" customHeight="1">
      <c r="B70" s="1">
        <v>203.0</v>
      </c>
      <c r="C70" s="1" t="s">
        <v>978</v>
      </c>
      <c r="D70" s="1" t="s">
        <v>217</v>
      </c>
      <c r="E70" s="1" t="s">
        <v>1725</v>
      </c>
      <c r="F70" s="1">
        <v>5.0915875004502E13</v>
      </c>
      <c r="G70" s="1" t="s">
        <v>1727</v>
      </c>
      <c r="H70" s="1">
        <v>15.0</v>
      </c>
      <c r="I70" s="1">
        <v>68.0</v>
      </c>
      <c r="J70" s="1">
        <v>1.7010001E7</v>
      </c>
      <c r="K70" s="1" t="s">
        <v>41</v>
      </c>
      <c r="L70" s="1" t="s">
        <v>554</v>
      </c>
      <c r="M70" s="1" t="s">
        <v>39</v>
      </c>
      <c r="N70" s="1">
        <v>5.0</v>
      </c>
      <c r="O70" s="1" t="s">
        <v>1730</v>
      </c>
      <c r="P70" s="1" t="s">
        <v>988</v>
      </c>
      <c r="Q70" s="1" t="s">
        <v>1001</v>
      </c>
      <c r="R70" s="1" t="s">
        <v>254</v>
      </c>
      <c r="S70" s="1" t="s">
        <v>254</v>
      </c>
      <c r="T70" s="1" t="s">
        <v>173</v>
      </c>
      <c r="U70" s="1" t="s">
        <v>298</v>
      </c>
      <c r="V70" s="1" t="s">
        <v>410</v>
      </c>
      <c r="W70" s="1" t="s">
        <v>252</v>
      </c>
      <c r="X70" s="1" t="s">
        <v>994</v>
      </c>
      <c r="Y70" s="1">
        <v>230.0</v>
      </c>
      <c r="Z70" s="1" t="s">
        <v>729</v>
      </c>
    </row>
    <row r="71" ht="15.75" customHeight="1">
      <c r="B71" s="1">
        <v>281.0</v>
      </c>
      <c r="C71" s="1" t="s">
        <v>978</v>
      </c>
      <c r="D71" s="1" t="s">
        <v>1687</v>
      </c>
      <c r="E71" s="1" t="s">
        <v>1739</v>
      </c>
      <c r="F71" s="1">
        <v>4.8973705002831E13</v>
      </c>
      <c r="G71" s="1" t="s">
        <v>1740</v>
      </c>
      <c r="H71" s="1">
        <v>15.0</v>
      </c>
      <c r="I71" s="1">
        <v>69.0</v>
      </c>
      <c r="J71" s="1">
        <v>1.340006E7</v>
      </c>
      <c r="K71" s="1" t="s">
        <v>41</v>
      </c>
      <c r="L71" s="1" t="s">
        <v>654</v>
      </c>
      <c r="M71" s="1" t="s">
        <v>39</v>
      </c>
      <c r="N71" s="1">
        <v>1118.0</v>
      </c>
      <c r="O71" s="1" t="s">
        <v>1656</v>
      </c>
      <c r="P71" s="1" t="s">
        <v>988</v>
      </c>
      <c r="Q71" s="1" t="s">
        <v>1001</v>
      </c>
      <c r="R71" s="1" t="s">
        <v>254</v>
      </c>
      <c r="S71" s="1" t="s">
        <v>254</v>
      </c>
      <c r="T71" s="1" t="s">
        <v>215</v>
      </c>
      <c r="U71" s="1" t="s">
        <v>298</v>
      </c>
      <c r="V71" s="1" t="s">
        <v>366</v>
      </c>
      <c r="W71" s="1" t="s">
        <v>857</v>
      </c>
      <c r="X71" s="1" t="s">
        <v>994</v>
      </c>
      <c r="Z71" s="1" t="s">
        <v>1743</v>
      </c>
    </row>
    <row r="72" ht="15.75" customHeight="1">
      <c r="B72" s="1">
        <v>285.0</v>
      </c>
      <c r="C72" s="1" t="s">
        <v>978</v>
      </c>
      <c r="D72" s="1" t="s">
        <v>1746</v>
      </c>
      <c r="E72" s="1" t="s">
        <v>1748</v>
      </c>
      <c r="F72" s="1">
        <v>4.8145491000195E13</v>
      </c>
      <c r="G72" s="1" t="s">
        <v>1749</v>
      </c>
      <c r="H72" s="1">
        <v>47.0</v>
      </c>
      <c r="I72" s="1">
        <v>70.0</v>
      </c>
      <c r="J72" s="1">
        <v>1.221658E7</v>
      </c>
      <c r="K72" s="1" t="s">
        <v>41</v>
      </c>
      <c r="L72" s="1" t="s">
        <v>271</v>
      </c>
      <c r="M72" s="1" t="s">
        <v>546</v>
      </c>
      <c r="N72" s="1">
        <v>9403.0</v>
      </c>
      <c r="O72" s="1" t="s">
        <v>98</v>
      </c>
      <c r="P72" s="1" t="s">
        <v>4</v>
      </c>
      <c r="Q72" s="1" t="s">
        <v>1001</v>
      </c>
      <c r="R72" s="1" t="s">
        <v>632</v>
      </c>
      <c r="S72" s="1" t="s">
        <v>632</v>
      </c>
      <c r="T72" s="1" t="s">
        <v>327</v>
      </c>
      <c r="U72" s="1" t="s">
        <v>595</v>
      </c>
      <c r="V72" s="1" t="s">
        <v>316</v>
      </c>
      <c r="W72" s="1" t="s">
        <v>252</v>
      </c>
      <c r="X72" s="1" t="s">
        <v>1116</v>
      </c>
    </row>
    <row r="73" ht="15.75" customHeight="1">
      <c r="B73" s="1">
        <v>286.0</v>
      </c>
      <c r="C73" s="1" t="s">
        <v>978</v>
      </c>
      <c r="D73" s="1" t="s">
        <v>1755</v>
      </c>
      <c r="E73" s="1" t="s">
        <v>1758</v>
      </c>
      <c r="F73" s="1">
        <v>4.8277781000192E13</v>
      </c>
      <c r="G73" s="1" t="s">
        <v>1761</v>
      </c>
      <c r="H73" s="1">
        <v>47.0</v>
      </c>
      <c r="I73" s="1">
        <v>71.0</v>
      </c>
      <c r="J73" s="1">
        <v>1.223E7</v>
      </c>
      <c r="K73" s="1" t="s">
        <v>41</v>
      </c>
      <c r="L73" s="1" t="s">
        <v>271</v>
      </c>
      <c r="M73" s="1" t="s">
        <v>231</v>
      </c>
      <c r="N73" s="1">
        <v>227.0</v>
      </c>
      <c r="O73" s="1" t="s">
        <v>230</v>
      </c>
      <c r="P73" s="1" t="s">
        <v>4</v>
      </c>
      <c r="Q73" s="1" t="s">
        <v>1001</v>
      </c>
      <c r="R73" s="1" t="s">
        <v>632</v>
      </c>
      <c r="S73" s="1" t="s">
        <v>632</v>
      </c>
      <c r="T73" s="1" t="s">
        <v>327</v>
      </c>
      <c r="U73" s="1" t="s">
        <v>595</v>
      </c>
      <c r="V73" s="1" t="s">
        <v>316</v>
      </c>
      <c r="W73" s="1" t="s">
        <v>252</v>
      </c>
      <c r="X73" s="1" t="s">
        <v>1116</v>
      </c>
    </row>
    <row r="74" ht="15.75" customHeight="1">
      <c r="B74" s="1">
        <v>287.0</v>
      </c>
      <c r="C74" s="1" t="s">
        <v>978</v>
      </c>
      <c r="D74" s="1" t="s">
        <v>217</v>
      </c>
      <c r="E74" s="1" t="s">
        <v>1770</v>
      </c>
      <c r="F74" s="1">
        <v>5.0915875005312E13</v>
      </c>
      <c r="G74" s="1">
        <v>1.60078390118E11</v>
      </c>
      <c r="H74" s="1">
        <v>15.0</v>
      </c>
      <c r="I74" s="1">
        <v>72.0</v>
      </c>
      <c r="J74" s="1">
        <v>1.409635E7</v>
      </c>
      <c r="K74" s="1" t="s">
        <v>41</v>
      </c>
      <c r="L74" s="1" t="s">
        <v>565</v>
      </c>
      <c r="M74" s="1" t="s">
        <v>756</v>
      </c>
      <c r="N74" s="1">
        <v>1500.0</v>
      </c>
      <c r="O74" s="1" t="s">
        <v>1775</v>
      </c>
      <c r="P74" s="1" t="s">
        <v>4</v>
      </c>
      <c r="Q74" s="1" t="s">
        <v>1001</v>
      </c>
      <c r="R74" s="1" t="s">
        <v>254</v>
      </c>
      <c r="S74" s="1" t="s">
        <v>254</v>
      </c>
      <c r="T74" s="1" t="s">
        <v>173</v>
      </c>
      <c r="U74" s="1" t="s">
        <v>298</v>
      </c>
      <c r="V74" s="1" t="s">
        <v>496</v>
      </c>
      <c r="W74" s="1" t="s">
        <v>252</v>
      </c>
      <c r="X74" s="1" t="s">
        <v>994</v>
      </c>
      <c r="Y74" s="1">
        <v>198.0</v>
      </c>
      <c r="Z74" s="1" t="s">
        <v>760</v>
      </c>
    </row>
    <row r="75" ht="15.75" customHeight="1">
      <c r="B75" s="1">
        <v>363.0</v>
      </c>
      <c r="C75" s="1" t="s">
        <v>978</v>
      </c>
      <c r="D75" s="1" t="s">
        <v>1746</v>
      </c>
      <c r="E75" s="1" t="s">
        <v>1782</v>
      </c>
      <c r="F75" s="1">
        <v>4.8145491000276E13</v>
      </c>
      <c r="G75" s="1">
        <v>1.25783418117E11</v>
      </c>
      <c r="H75" s="1">
        <v>47.0</v>
      </c>
      <c r="I75" s="1">
        <v>73.0</v>
      </c>
      <c r="J75" s="1">
        <v>1.223505E7</v>
      </c>
      <c r="K75" s="1" t="s">
        <v>41</v>
      </c>
      <c r="L75" s="1" t="s">
        <v>271</v>
      </c>
      <c r="M75" s="1" t="s">
        <v>715</v>
      </c>
      <c r="N75" s="1">
        <v>500.0</v>
      </c>
      <c r="O75" s="1" t="s">
        <v>713</v>
      </c>
      <c r="P75" s="1" t="s">
        <v>4</v>
      </c>
      <c r="Q75" s="1" t="s">
        <v>1001</v>
      </c>
      <c r="R75" s="1" t="s">
        <v>632</v>
      </c>
      <c r="S75" s="1" t="s">
        <v>632</v>
      </c>
      <c r="T75" s="1" t="s">
        <v>327</v>
      </c>
      <c r="U75" s="1" t="s">
        <v>595</v>
      </c>
      <c r="V75" s="1" t="s">
        <v>316</v>
      </c>
      <c r="W75" s="1" t="s">
        <v>252</v>
      </c>
      <c r="X75" s="1" t="s">
        <v>1116</v>
      </c>
    </row>
    <row r="76" ht="15.75" customHeight="1">
      <c r="B76" s="1">
        <v>364.0</v>
      </c>
      <c r="C76" s="1" t="s">
        <v>978</v>
      </c>
      <c r="D76" s="1" t="s">
        <v>217</v>
      </c>
      <c r="E76" s="1" t="s">
        <v>1793</v>
      </c>
      <c r="F76" s="1">
        <v>5.0915875005746E13</v>
      </c>
      <c r="G76" s="1" t="s">
        <v>1794</v>
      </c>
      <c r="H76" s="1">
        <v>15.0</v>
      </c>
      <c r="I76" s="1">
        <v>74.0</v>
      </c>
      <c r="J76" s="1" t="s">
        <v>1797</v>
      </c>
      <c r="K76" s="1" t="s">
        <v>41</v>
      </c>
      <c r="L76" s="1" t="s">
        <v>654</v>
      </c>
      <c r="M76" s="1" t="s">
        <v>1798</v>
      </c>
      <c r="N76" s="1">
        <v>722.0</v>
      </c>
      <c r="O76" s="1" t="s">
        <v>1800</v>
      </c>
      <c r="P76" s="1" t="s">
        <v>4</v>
      </c>
      <c r="Q76" s="1" t="s">
        <v>1001</v>
      </c>
      <c r="R76" s="1" t="s">
        <v>254</v>
      </c>
      <c r="S76" s="1" t="s">
        <v>254</v>
      </c>
      <c r="T76" s="1" t="s">
        <v>173</v>
      </c>
      <c r="U76" s="1" t="s">
        <v>298</v>
      </c>
      <c r="V76" s="1" t="s">
        <v>444</v>
      </c>
      <c r="W76" s="1" t="s">
        <v>252</v>
      </c>
      <c r="X76" s="1" t="s">
        <v>994</v>
      </c>
      <c r="Y76" s="1">
        <v>258.0</v>
      </c>
      <c r="Z76" s="1" t="s">
        <v>787</v>
      </c>
    </row>
    <row r="77" ht="15.75" customHeight="1">
      <c r="B77" s="1">
        <v>370.0</v>
      </c>
      <c r="C77" s="1" t="s">
        <v>978</v>
      </c>
      <c r="D77" s="1" t="s">
        <v>217</v>
      </c>
      <c r="E77" s="1" t="s">
        <v>1807</v>
      </c>
      <c r="F77" s="1">
        <v>5.091587500345E13</v>
      </c>
      <c r="G77" s="1">
        <v>2.8220419511E11</v>
      </c>
      <c r="H77" s="1">
        <v>15.0</v>
      </c>
      <c r="I77" s="1">
        <v>75.0</v>
      </c>
      <c r="J77" s="1" t="s">
        <v>1809</v>
      </c>
      <c r="K77" s="1" t="s">
        <v>41</v>
      </c>
      <c r="L77" s="1" t="s">
        <v>796</v>
      </c>
      <c r="M77" s="1" t="s">
        <v>794</v>
      </c>
      <c r="N77" s="1">
        <v>5.0</v>
      </c>
      <c r="O77" s="1" t="s">
        <v>1812</v>
      </c>
      <c r="P77" s="1" t="s">
        <v>4</v>
      </c>
      <c r="Q77" s="1" t="s">
        <v>1001</v>
      </c>
      <c r="R77" s="1" t="s">
        <v>254</v>
      </c>
      <c r="S77" s="1" t="s">
        <v>254</v>
      </c>
      <c r="T77" s="1" t="s">
        <v>173</v>
      </c>
      <c r="U77" s="1" t="s">
        <v>298</v>
      </c>
      <c r="V77" s="1" t="s">
        <v>517</v>
      </c>
      <c r="W77" s="1" t="s">
        <v>252</v>
      </c>
      <c r="X77" s="1" t="s">
        <v>994</v>
      </c>
      <c r="Y77" s="1">
        <v>180.0</v>
      </c>
      <c r="Z77" s="1" t="s">
        <v>802</v>
      </c>
    </row>
    <row r="78" ht="15.75" customHeight="1">
      <c r="B78" s="1">
        <v>377.0</v>
      </c>
      <c r="C78" s="1" t="s">
        <v>978</v>
      </c>
      <c r="D78" s="1" t="s">
        <v>1391</v>
      </c>
      <c r="E78" s="1" t="s">
        <v>1823</v>
      </c>
      <c r="F78" s="1">
        <v>9.33222500011E12</v>
      </c>
      <c r="G78" s="1">
        <v>6.45400271113E11</v>
      </c>
      <c r="H78" s="1">
        <v>15.0</v>
      </c>
      <c r="I78" s="1">
        <v>76.0</v>
      </c>
      <c r="J78" s="1">
        <v>1.222401E7</v>
      </c>
      <c r="K78" s="1" t="s">
        <v>41</v>
      </c>
      <c r="L78" s="1" t="s">
        <v>271</v>
      </c>
      <c r="M78" s="1" t="s">
        <v>808</v>
      </c>
      <c r="N78" s="1">
        <v>459.0</v>
      </c>
      <c r="O78" s="1" t="s">
        <v>1827</v>
      </c>
      <c r="P78" s="1" t="s">
        <v>988</v>
      </c>
      <c r="Q78" s="1" t="s">
        <v>1001</v>
      </c>
      <c r="R78" s="1" t="s">
        <v>254</v>
      </c>
      <c r="S78" s="1" t="s">
        <v>254</v>
      </c>
      <c r="T78" s="1" t="s">
        <v>288</v>
      </c>
      <c r="U78" s="1" t="s">
        <v>298</v>
      </c>
      <c r="V78" s="1" t="s">
        <v>295</v>
      </c>
      <c r="W78" s="1" t="s">
        <v>252</v>
      </c>
      <c r="X78" s="1" t="s">
        <v>994</v>
      </c>
      <c r="Y78" s="1">
        <v>230.0</v>
      </c>
      <c r="Z78" s="1" t="s">
        <v>811</v>
      </c>
    </row>
    <row r="79" ht="15.75" customHeight="1">
      <c r="B79" s="1">
        <v>381.0</v>
      </c>
      <c r="C79" s="1" t="s">
        <v>978</v>
      </c>
      <c r="D79" s="1" t="s">
        <v>217</v>
      </c>
      <c r="E79" s="1" t="s">
        <v>1834</v>
      </c>
      <c r="F79" s="1">
        <v>5.0915875005584E13</v>
      </c>
      <c r="G79" s="1" t="s">
        <v>1836</v>
      </c>
      <c r="H79" s="1">
        <v>15.0</v>
      </c>
      <c r="I79" s="1">
        <v>77.0</v>
      </c>
      <c r="J79" s="1">
        <v>1.32159E7</v>
      </c>
      <c r="K79" s="1" t="s">
        <v>41</v>
      </c>
      <c r="L79" s="1" t="s">
        <v>820</v>
      </c>
      <c r="M79" s="1" t="s">
        <v>819</v>
      </c>
      <c r="N79" s="1">
        <v>6000.0</v>
      </c>
      <c r="O79" s="1" t="s">
        <v>817</v>
      </c>
      <c r="P79" s="1" t="s">
        <v>4</v>
      </c>
      <c r="Q79" s="1" t="s">
        <v>1001</v>
      </c>
      <c r="R79" s="1" t="s">
        <v>254</v>
      </c>
      <c r="S79" s="1" t="s">
        <v>254</v>
      </c>
      <c r="T79" s="1" t="s">
        <v>173</v>
      </c>
      <c r="U79" s="1" t="s">
        <v>298</v>
      </c>
      <c r="V79" s="1" t="s">
        <v>444</v>
      </c>
      <c r="W79" s="1" t="s">
        <v>252</v>
      </c>
      <c r="X79" s="1" t="s">
        <v>994</v>
      </c>
      <c r="Y79" s="1">
        <v>234.0</v>
      </c>
      <c r="Z79" s="1" t="s">
        <v>823</v>
      </c>
    </row>
    <row r="80" ht="15.75" customHeight="1">
      <c r="B80" s="1">
        <v>382.0</v>
      </c>
      <c r="C80" s="1" t="s">
        <v>978</v>
      </c>
      <c r="D80" s="1" t="s">
        <v>217</v>
      </c>
      <c r="E80" s="1" t="s">
        <v>1845</v>
      </c>
      <c r="F80" s="1">
        <v>5.0915875005665E13</v>
      </c>
      <c r="G80" s="1">
        <v>1.60078442118E11</v>
      </c>
      <c r="H80" s="1">
        <v>15.0</v>
      </c>
      <c r="I80" s="1">
        <v>78.0</v>
      </c>
      <c r="J80" s="1">
        <v>1.7013113E7</v>
      </c>
      <c r="K80" s="1" t="s">
        <v>41</v>
      </c>
      <c r="L80" s="1" t="s">
        <v>554</v>
      </c>
      <c r="M80" s="1" t="s">
        <v>1849</v>
      </c>
      <c r="N80" s="1">
        <v>1139.0</v>
      </c>
      <c r="O80" s="1" t="s">
        <v>827</v>
      </c>
      <c r="P80" s="1" t="s">
        <v>4</v>
      </c>
      <c r="Q80" s="1" t="s">
        <v>1001</v>
      </c>
      <c r="R80" s="1" t="s">
        <v>254</v>
      </c>
      <c r="S80" s="1" t="s">
        <v>254</v>
      </c>
      <c r="T80" s="1" t="s">
        <v>173</v>
      </c>
      <c r="U80" s="1" t="s">
        <v>298</v>
      </c>
      <c r="V80" s="1" t="s">
        <v>410</v>
      </c>
      <c r="W80" s="1" t="s">
        <v>252</v>
      </c>
      <c r="X80" s="1" t="s">
        <v>994</v>
      </c>
      <c r="Y80" s="1">
        <v>172.0</v>
      </c>
      <c r="Z80" s="1" t="s">
        <v>835</v>
      </c>
    </row>
    <row r="81" ht="15.75" customHeight="1">
      <c r="B81" s="1">
        <v>384.0</v>
      </c>
      <c r="C81" s="1" t="s">
        <v>978</v>
      </c>
      <c r="D81" s="1" t="s">
        <v>1492</v>
      </c>
      <c r="E81" s="1" t="s">
        <v>1858</v>
      </c>
      <c r="F81" s="1">
        <v>6.1195652000202E13</v>
      </c>
      <c r="G81" s="1">
        <v>5.62758198118E11</v>
      </c>
      <c r="H81" s="1">
        <v>15.0</v>
      </c>
      <c r="I81" s="1">
        <v>79.0</v>
      </c>
      <c r="J81" s="1">
        <v>1.901001E7</v>
      </c>
      <c r="K81" s="1" t="s">
        <v>41</v>
      </c>
      <c r="L81" s="1" t="s">
        <v>1861</v>
      </c>
      <c r="M81" s="1" t="s">
        <v>39</v>
      </c>
      <c r="N81" s="1">
        <v>360.0</v>
      </c>
      <c r="O81" s="1" t="s">
        <v>1863</v>
      </c>
      <c r="P81" s="1" t="s">
        <v>988</v>
      </c>
      <c r="Q81" s="1" t="s">
        <v>1001</v>
      </c>
      <c r="R81" s="1" t="s">
        <v>254</v>
      </c>
      <c r="S81" s="1" t="s">
        <v>254</v>
      </c>
      <c r="T81" s="1" t="s">
        <v>288</v>
      </c>
      <c r="U81" s="1" t="s">
        <v>298</v>
      </c>
      <c r="V81" s="1" t="s">
        <v>501</v>
      </c>
      <c r="W81" s="1" t="s">
        <v>857</v>
      </c>
      <c r="X81" s="1" t="s">
        <v>994</v>
      </c>
      <c r="Y81" s="1">
        <v>168.0</v>
      </c>
      <c r="Z81" s="1" t="s">
        <v>1867</v>
      </c>
    </row>
    <row r="82" ht="15.75" customHeight="1">
      <c r="B82" s="1">
        <v>122.0</v>
      </c>
      <c r="C82" s="1" t="s">
        <v>978</v>
      </c>
      <c r="D82" s="1" t="s">
        <v>1869</v>
      </c>
      <c r="E82" s="1" t="s">
        <v>1871</v>
      </c>
      <c r="F82" s="1">
        <v>4.3144476000109E13</v>
      </c>
      <c r="G82" s="1">
        <v>6.7210603211E11</v>
      </c>
      <c r="H82" s="1">
        <v>17.0</v>
      </c>
      <c r="I82" s="1">
        <v>90.0</v>
      </c>
      <c r="J82" s="1">
        <v>8710000.0</v>
      </c>
      <c r="K82" s="1" t="s">
        <v>41</v>
      </c>
      <c r="L82" s="1" t="s">
        <v>1052</v>
      </c>
      <c r="M82" s="1" t="s">
        <v>39</v>
      </c>
      <c r="N82" s="1">
        <v>1.0</v>
      </c>
      <c r="O82" s="1" t="s">
        <v>1873</v>
      </c>
      <c r="R82" s="1" t="s">
        <v>359</v>
      </c>
      <c r="S82" s="1" t="s">
        <v>359</v>
      </c>
      <c r="T82" s="1" t="s">
        <v>124</v>
      </c>
      <c r="W82" s="1" t="s">
        <v>857</v>
      </c>
      <c r="X82" s="1" t="s">
        <v>1116</v>
      </c>
      <c r="Y82" s="1">
        <v>1.0</v>
      </c>
    </row>
    <row r="83" ht="15.75" customHeight="1">
      <c r="B83" s="1">
        <v>136.0</v>
      </c>
      <c r="C83" s="1" t="s">
        <v>978</v>
      </c>
      <c r="D83" s="1" t="s">
        <v>1015</v>
      </c>
      <c r="E83" s="1" t="s">
        <v>1877</v>
      </c>
      <c r="F83" s="1">
        <v>5.243881500015E13</v>
      </c>
      <c r="G83" s="1">
        <v>6.45276604117E11</v>
      </c>
      <c r="H83" s="1">
        <v>21.0</v>
      </c>
      <c r="I83" s="1">
        <v>92.0</v>
      </c>
      <c r="J83" s="1">
        <v>1.223521E7</v>
      </c>
      <c r="K83" s="1" t="s">
        <v>41</v>
      </c>
      <c r="L83" s="1" t="s">
        <v>271</v>
      </c>
      <c r="M83" s="1" t="s">
        <v>1023</v>
      </c>
      <c r="N83" s="1">
        <v>123.0</v>
      </c>
      <c r="O83" s="1" t="s">
        <v>1020</v>
      </c>
      <c r="R83" s="1" t="s">
        <v>1880</v>
      </c>
      <c r="S83" s="1" t="s">
        <v>1880</v>
      </c>
      <c r="T83" s="1" t="s">
        <v>124</v>
      </c>
      <c r="W83" s="1" t="s">
        <v>252</v>
      </c>
      <c r="X83" s="1" t="s">
        <v>1116</v>
      </c>
    </row>
    <row r="84" ht="15.75" customHeight="1">
      <c r="B84" s="1">
        <v>135.0</v>
      </c>
      <c r="C84" s="1" t="s">
        <v>1150</v>
      </c>
      <c r="D84" s="1" t="s">
        <v>1015</v>
      </c>
      <c r="E84" s="1" t="s">
        <v>1887</v>
      </c>
      <c r="F84" s="1">
        <v>2.7409005000129E13</v>
      </c>
      <c r="G84" s="1">
        <v>6.45276604117E11</v>
      </c>
      <c r="H84" s="1">
        <v>21.0</v>
      </c>
      <c r="I84" s="1">
        <v>93.0</v>
      </c>
      <c r="J84" s="1">
        <v>1.223521E7</v>
      </c>
      <c r="K84" s="1" t="s">
        <v>41</v>
      </c>
      <c r="L84" s="1" t="s">
        <v>271</v>
      </c>
      <c r="M84" s="1" t="s">
        <v>1023</v>
      </c>
      <c r="N84" s="1">
        <v>123.0</v>
      </c>
      <c r="O84" s="1" t="s">
        <v>1020</v>
      </c>
      <c r="R84" s="1" t="s">
        <v>1880</v>
      </c>
      <c r="S84" s="1" t="s">
        <v>1880</v>
      </c>
      <c r="T84" s="1" t="s">
        <v>124</v>
      </c>
      <c r="W84" s="1" t="s">
        <v>857</v>
      </c>
      <c r="X84" s="1" t="s">
        <v>1116</v>
      </c>
    </row>
    <row r="85" ht="15.75" customHeight="1">
      <c r="B85" s="1">
        <v>123.0</v>
      </c>
      <c r="C85" s="1" t="s">
        <v>978</v>
      </c>
      <c r="D85" s="1" t="s">
        <v>1891</v>
      </c>
      <c r="E85" s="1" t="s">
        <v>1892</v>
      </c>
      <c r="F85" s="1">
        <v>8.9705513000101E13</v>
      </c>
      <c r="H85" s="1">
        <v>21.0</v>
      </c>
      <c r="I85" s="1">
        <v>94.0</v>
      </c>
      <c r="J85" s="1">
        <v>8700000.0</v>
      </c>
      <c r="K85" s="1" t="s">
        <v>41</v>
      </c>
      <c r="L85" s="1" t="s">
        <v>1052</v>
      </c>
      <c r="M85" s="1" t="s">
        <v>1896</v>
      </c>
      <c r="N85" s="1">
        <v>1.0</v>
      </c>
      <c r="O85" s="1" t="s">
        <v>1898</v>
      </c>
      <c r="R85" s="1" t="s">
        <v>1880</v>
      </c>
      <c r="S85" s="1" t="s">
        <v>1880</v>
      </c>
      <c r="T85" s="1" t="s">
        <v>124</v>
      </c>
      <c r="W85" s="1" t="s">
        <v>857</v>
      </c>
      <c r="X85" s="1" t="s">
        <v>1116</v>
      </c>
    </row>
    <row r="86" ht="15.75" customHeight="1">
      <c r="B86" s="1">
        <v>125.0</v>
      </c>
      <c r="C86" s="1" t="s">
        <v>1150</v>
      </c>
      <c r="D86" s="1" t="s">
        <v>1899</v>
      </c>
      <c r="E86" s="1" t="s">
        <v>1900</v>
      </c>
      <c r="F86" s="1">
        <v>3.6258477000119E13</v>
      </c>
      <c r="G86" s="1">
        <v>6.45276604117E11</v>
      </c>
      <c r="H86" s="1">
        <v>21.0</v>
      </c>
      <c r="I86" s="1">
        <v>95.0</v>
      </c>
      <c r="J86" s="1">
        <v>8700000.0</v>
      </c>
      <c r="K86" s="1" t="s">
        <v>41</v>
      </c>
      <c r="L86" s="1" t="s">
        <v>1052</v>
      </c>
      <c r="M86" s="1" t="s">
        <v>1906</v>
      </c>
      <c r="N86" s="1">
        <v>1.0</v>
      </c>
      <c r="O86" s="1" t="s">
        <v>1908</v>
      </c>
      <c r="R86" s="1" t="s">
        <v>1880</v>
      </c>
      <c r="S86" s="1" t="s">
        <v>1880</v>
      </c>
      <c r="T86" s="1" t="s">
        <v>124</v>
      </c>
      <c r="W86" s="1" t="s">
        <v>857</v>
      </c>
      <c r="X86" s="1" t="s">
        <v>1116</v>
      </c>
    </row>
    <row r="87" ht="15.75" customHeight="1">
      <c r="B87" s="1">
        <v>124.0</v>
      </c>
      <c r="C87" s="1" t="s">
        <v>978</v>
      </c>
      <c r="D87" s="1" t="s">
        <v>1911</v>
      </c>
      <c r="E87" s="1" t="s">
        <v>1912</v>
      </c>
      <c r="F87" s="1">
        <v>1.1800724000136E13</v>
      </c>
      <c r="G87" s="1">
        <v>6.45492983111E11</v>
      </c>
      <c r="H87" s="1">
        <v>1.0</v>
      </c>
      <c r="I87" s="1">
        <v>96.0</v>
      </c>
      <c r="J87" s="1">
        <v>1.22102E7</v>
      </c>
      <c r="K87" s="1" t="s">
        <v>41</v>
      </c>
      <c r="L87" s="1" t="s">
        <v>271</v>
      </c>
      <c r="M87" s="1" t="s">
        <v>39</v>
      </c>
      <c r="N87" s="1">
        <v>147.0</v>
      </c>
      <c r="O87" s="1" t="s">
        <v>300</v>
      </c>
      <c r="R87" s="1" t="s">
        <v>124</v>
      </c>
      <c r="S87" s="1" t="s">
        <v>124</v>
      </c>
      <c r="T87" s="1" t="s">
        <v>124</v>
      </c>
      <c r="W87" s="1" t="s">
        <v>857</v>
      </c>
      <c r="X87" s="1" t="s">
        <v>1116</v>
      </c>
    </row>
    <row r="88" ht="15.75" customHeight="1">
      <c r="B88" s="1">
        <v>121.0</v>
      </c>
      <c r="C88" s="1" t="s">
        <v>1150</v>
      </c>
      <c r="D88" s="1" t="s">
        <v>1921</v>
      </c>
      <c r="E88" s="1" t="s">
        <v>1922</v>
      </c>
      <c r="F88" s="1">
        <v>6.055393000117E12</v>
      </c>
      <c r="G88" s="1">
        <v>6.45492983111E11</v>
      </c>
      <c r="H88" s="1">
        <v>1.0</v>
      </c>
      <c r="I88" s="1">
        <v>97.0</v>
      </c>
      <c r="J88" s="1">
        <v>1.221027E7</v>
      </c>
      <c r="K88" s="1" t="s">
        <v>41</v>
      </c>
      <c r="L88" s="1" t="s">
        <v>271</v>
      </c>
      <c r="M88" s="1" t="s">
        <v>39</v>
      </c>
      <c r="N88" s="1">
        <v>1032.0</v>
      </c>
      <c r="O88" s="1" t="s">
        <v>1927</v>
      </c>
      <c r="R88" s="1" t="s">
        <v>124</v>
      </c>
      <c r="S88" s="1" t="s">
        <v>124</v>
      </c>
      <c r="T88" s="1" t="s">
        <v>124</v>
      </c>
      <c r="W88" s="1" t="s">
        <v>857</v>
      </c>
      <c r="X88" s="1" t="s">
        <v>1116</v>
      </c>
    </row>
    <row r="89" ht="15.75" customHeight="1">
      <c r="B89" s="1">
        <v>132.0</v>
      </c>
      <c r="C89" s="1" t="s">
        <v>1150</v>
      </c>
      <c r="D89" s="1" t="s">
        <v>1932</v>
      </c>
      <c r="E89" s="1" t="s">
        <v>1933</v>
      </c>
      <c r="F89" s="1">
        <v>8.338880000112E12</v>
      </c>
      <c r="G89" s="1">
        <v>6.45492983111E11</v>
      </c>
      <c r="H89" s="1">
        <v>1.0</v>
      </c>
      <c r="I89" s="1">
        <v>98.0</v>
      </c>
      <c r="J89" s="1">
        <v>1.221027E7</v>
      </c>
      <c r="K89" s="1" t="s">
        <v>41</v>
      </c>
      <c r="L89" s="1" t="s">
        <v>271</v>
      </c>
      <c r="M89" s="1" t="s">
        <v>39</v>
      </c>
      <c r="N89" s="1">
        <v>1032.0</v>
      </c>
      <c r="O89" s="1" t="s">
        <v>1927</v>
      </c>
      <c r="R89" s="1" t="s">
        <v>124</v>
      </c>
      <c r="S89" s="1" t="s">
        <v>124</v>
      </c>
      <c r="T89" s="1" t="s">
        <v>124</v>
      </c>
      <c r="W89" s="1" t="s">
        <v>857</v>
      </c>
      <c r="X89" s="1" t="s">
        <v>1116</v>
      </c>
    </row>
    <row r="90" ht="15.75" customHeight="1">
      <c r="B90" s="1">
        <v>166.0</v>
      </c>
      <c r="C90" s="1" t="s">
        <v>1150</v>
      </c>
      <c r="D90" s="1" t="s">
        <v>1940</v>
      </c>
      <c r="E90" s="1" t="s">
        <v>1941</v>
      </c>
      <c r="F90" s="1">
        <v>4.9283453000161E13</v>
      </c>
      <c r="G90" s="1">
        <v>0.0</v>
      </c>
      <c r="H90" s="1">
        <v>4.0</v>
      </c>
      <c r="I90" s="1">
        <v>100.0</v>
      </c>
      <c r="J90" s="1">
        <v>1.22102E7</v>
      </c>
      <c r="K90" s="1" t="s">
        <v>41</v>
      </c>
      <c r="L90" s="1" t="s">
        <v>704</v>
      </c>
      <c r="M90" s="1" t="s">
        <v>39</v>
      </c>
      <c r="N90" s="1">
        <v>148.0</v>
      </c>
      <c r="O90" s="1" t="s">
        <v>1949</v>
      </c>
      <c r="R90" s="1" t="s">
        <v>1951</v>
      </c>
      <c r="S90" s="1" t="s">
        <v>1951</v>
      </c>
      <c r="T90" s="1" t="s">
        <v>124</v>
      </c>
      <c r="W90" s="1" t="s">
        <v>252</v>
      </c>
      <c r="X90" s="1" t="s">
        <v>994</v>
      </c>
      <c r="Y90" s="1">
        <v>1.0</v>
      </c>
    </row>
    <row r="91" ht="15.75" customHeight="1">
      <c r="B91" s="1">
        <v>361.0</v>
      </c>
      <c r="C91" s="1" t="s">
        <v>978</v>
      </c>
      <c r="D91" s="1" t="s">
        <v>217</v>
      </c>
      <c r="E91" s="1" t="s">
        <v>1955</v>
      </c>
      <c r="F91" s="1">
        <v>1.9991321000123E13</v>
      </c>
      <c r="G91" s="1">
        <v>6.45276604117E11</v>
      </c>
      <c r="H91" s="1">
        <v>55.0</v>
      </c>
      <c r="I91" s="1">
        <v>100.0</v>
      </c>
      <c r="J91" s="1">
        <v>1.223101E7</v>
      </c>
      <c r="K91" s="1" t="s">
        <v>41</v>
      </c>
      <c r="L91" s="1" t="s">
        <v>271</v>
      </c>
      <c r="M91" s="1" t="s">
        <v>673</v>
      </c>
      <c r="N91" s="1">
        <v>1692.0</v>
      </c>
      <c r="O91" s="1" t="s">
        <v>670</v>
      </c>
      <c r="R91" s="1" t="s">
        <v>1018</v>
      </c>
      <c r="S91" s="1" t="s">
        <v>1018</v>
      </c>
      <c r="T91" s="1" t="s">
        <v>124</v>
      </c>
      <c r="W91" s="1" t="s">
        <v>857</v>
      </c>
      <c r="X91" s="1" t="s">
        <v>1116</v>
      </c>
      <c r="Y91" s="1">
        <v>1.0</v>
      </c>
    </row>
    <row r="92" ht="15.75" customHeight="1">
      <c r="B92" s="1">
        <v>141.0</v>
      </c>
      <c r="C92" s="1" t="s">
        <v>978</v>
      </c>
      <c r="D92" s="1" t="s">
        <v>217</v>
      </c>
      <c r="E92" s="1" t="s">
        <v>1965</v>
      </c>
      <c r="F92" s="1">
        <v>5.091587500507E13</v>
      </c>
      <c r="G92" s="1">
        <v>2.24453717117E11</v>
      </c>
      <c r="H92" s="1">
        <v>15.0</v>
      </c>
      <c r="I92" s="1">
        <v>101.0</v>
      </c>
      <c r="J92" s="1">
        <v>1.860041E7</v>
      </c>
      <c r="K92" s="1" t="s">
        <v>41</v>
      </c>
      <c r="L92" s="1" t="s">
        <v>843</v>
      </c>
      <c r="M92" s="1" t="s">
        <v>39</v>
      </c>
      <c r="N92" s="1">
        <v>35.0</v>
      </c>
      <c r="O92" s="1" t="s">
        <v>1970</v>
      </c>
      <c r="P92" s="1" t="s">
        <v>988</v>
      </c>
      <c r="Q92" s="1" t="s">
        <v>1001</v>
      </c>
      <c r="R92" s="1" t="s">
        <v>254</v>
      </c>
      <c r="S92" s="1" t="s">
        <v>254</v>
      </c>
      <c r="T92" s="1" t="s">
        <v>173</v>
      </c>
      <c r="U92" s="1" t="s">
        <v>298</v>
      </c>
      <c r="V92" s="1" t="s">
        <v>410</v>
      </c>
      <c r="W92" s="1" t="s">
        <v>252</v>
      </c>
      <c r="X92" s="1" t="s">
        <v>994</v>
      </c>
      <c r="Y92" s="1">
        <v>440.0</v>
      </c>
      <c r="Z92" s="1" t="s">
        <v>848</v>
      </c>
    </row>
    <row r="93" ht="15.75" customHeight="1">
      <c r="B93" s="1">
        <v>142.0</v>
      </c>
      <c r="C93" s="1" t="s">
        <v>978</v>
      </c>
      <c r="D93" s="1" t="s">
        <v>217</v>
      </c>
      <c r="E93" s="1" t="s">
        <v>850</v>
      </c>
      <c r="F93" s="1">
        <v>5.0915875006637E13</v>
      </c>
      <c r="G93" s="1" t="s">
        <v>1977</v>
      </c>
      <c r="H93" s="1">
        <v>15.0</v>
      </c>
      <c r="I93" s="1">
        <v>102.0</v>
      </c>
      <c r="J93" s="1">
        <v>3.8300076E7</v>
      </c>
      <c r="K93" s="1" t="s">
        <v>181</v>
      </c>
      <c r="L93" s="1" t="s">
        <v>856</v>
      </c>
      <c r="M93" s="1" t="s">
        <v>39</v>
      </c>
      <c r="N93" s="1">
        <v>616.0</v>
      </c>
      <c r="O93" s="1" t="s">
        <v>1985</v>
      </c>
      <c r="P93" s="1" t="s">
        <v>988</v>
      </c>
      <c r="Q93" s="1" t="s">
        <v>1001</v>
      </c>
      <c r="R93" s="1" t="s">
        <v>254</v>
      </c>
      <c r="S93" s="1" t="s">
        <v>254</v>
      </c>
      <c r="T93" s="1" t="s">
        <v>173</v>
      </c>
      <c r="U93" s="1" t="s">
        <v>298</v>
      </c>
      <c r="V93" s="1" t="s">
        <v>496</v>
      </c>
      <c r="W93" s="1" t="s">
        <v>252</v>
      </c>
      <c r="X93" s="1" t="s">
        <v>994</v>
      </c>
      <c r="Y93" s="1">
        <v>250.0</v>
      </c>
      <c r="Z93" s="1" t="s">
        <v>861</v>
      </c>
    </row>
    <row r="94" ht="15.75" customHeight="1">
      <c r="B94" s="1">
        <v>180.0</v>
      </c>
      <c r="C94" s="1" t="s">
        <v>1150</v>
      </c>
      <c r="D94" s="1" t="s">
        <v>1992</v>
      </c>
      <c r="E94" s="1" t="s">
        <v>1994</v>
      </c>
      <c r="F94" s="1">
        <v>4.8973705001436E13</v>
      </c>
      <c r="G94" s="1">
        <v>4.38467949115E11</v>
      </c>
      <c r="H94" s="1">
        <v>4.0</v>
      </c>
      <c r="I94" s="1">
        <v>103.0</v>
      </c>
      <c r="J94" s="1">
        <v>1.7500001E7</v>
      </c>
      <c r="K94" s="1" t="s">
        <v>41</v>
      </c>
      <c r="L94" s="1" t="s">
        <v>1996</v>
      </c>
      <c r="M94" s="1" t="s">
        <v>39</v>
      </c>
      <c r="N94" s="1">
        <v>637.0</v>
      </c>
      <c r="O94" s="1" t="s">
        <v>1998</v>
      </c>
      <c r="R94" s="1" t="s">
        <v>1951</v>
      </c>
      <c r="S94" s="1" t="s">
        <v>1951</v>
      </c>
      <c r="T94" s="1" t="s">
        <v>124</v>
      </c>
      <c r="W94" s="1" t="s">
        <v>857</v>
      </c>
      <c r="X94" s="1" t="s">
        <v>994</v>
      </c>
    </row>
    <row r="95" ht="15.75" customHeight="1">
      <c r="B95" s="1">
        <v>143.0</v>
      </c>
      <c r="C95" s="1" t="s">
        <v>1150</v>
      </c>
      <c r="D95" s="1" t="s">
        <v>1992</v>
      </c>
      <c r="E95" s="1" t="s">
        <v>2003</v>
      </c>
      <c r="F95" s="1">
        <v>1.1778850000131E13</v>
      </c>
      <c r="G95" s="1">
        <v>1.7728830111E11</v>
      </c>
      <c r="H95" s="1">
        <v>4.0</v>
      </c>
      <c r="I95" s="1">
        <v>104.0</v>
      </c>
      <c r="J95" s="1">
        <v>1.60103E7</v>
      </c>
      <c r="K95" s="1" t="s">
        <v>41</v>
      </c>
      <c r="L95" s="1" t="s">
        <v>1376</v>
      </c>
      <c r="M95" s="1" t="s">
        <v>39</v>
      </c>
      <c r="N95" s="1">
        <v>217.0</v>
      </c>
      <c r="O95" s="1" t="s">
        <v>2013</v>
      </c>
      <c r="R95" s="1" t="s">
        <v>1951</v>
      </c>
      <c r="S95" s="1" t="s">
        <v>1951</v>
      </c>
      <c r="T95" s="1" t="s">
        <v>215</v>
      </c>
      <c r="U95" s="1" t="s">
        <v>298</v>
      </c>
      <c r="V95" s="1" t="s">
        <v>434</v>
      </c>
      <c r="W95" s="1" t="s">
        <v>857</v>
      </c>
      <c r="X95" s="1" t="s">
        <v>994</v>
      </c>
    </row>
    <row r="96" ht="15.75" customHeight="1">
      <c r="B96" s="1">
        <v>144.0</v>
      </c>
      <c r="C96" s="1" t="s">
        <v>978</v>
      </c>
      <c r="D96" s="1" t="s">
        <v>217</v>
      </c>
      <c r="E96" s="1" t="s">
        <v>864</v>
      </c>
      <c r="F96" s="1">
        <v>5.0915875006394E13</v>
      </c>
      <c r="G96" s="1">
        <v>2.9977380244E10</v>
      </c>
      <c r="H96" s="1">
        <v>15.0</v>
      </c>
      <c r="I96" s="1">
        <v>105.0</v>
      </c>
      <c r="J96" s="1">
        <v>3.801002E7</v>
      </c>
      <c r="K96" s="1" t="s">
        <v>181</v>
      </c>
      <c r="L96" s="1" t="s">
        <v>869</v>
      </c>
      <c r="M96" s="1" t="s">
        <v>39</v>
      </c>
      <c r="N96" s="1">
        <v>41.0</v>
      </c>
      <c r="O96" s="1" t="s">
        <v>867</v>
      </c>
      <c r="P96" s="1" t="s">
        <v>988</v>
      </c>
      <c r="Q96" s="1" t="s">
        <v>990</v>
      </c>
      <c r="R96" s="1" t="s">
        <v>254</v>
      </c>
      <c r="S96" s="1" t="s">
        <v>254</v>
      </c>
      <c r="T96" s="1" t="s">
        <v>173</v>
      </c>
      <c r="U96" s="1" t="s">
        <v>298</v>
      </c>
      <c r="V96" s="1" t="s">
        <v>496</v>
      </c>
      <c r="W96" s="1" t="s">
        <v>252</v>
      </c>
      <c r="X96" s="1" t="s">
        <v>994</v>
      </c>
      <c r="Y96" s="1">
        <v>170.0</v>
      </c>
      <c r="Z96" s="1" t="s">
        <v>873</v>
      </c>
    </row>
    <row r="97" ht="15.75" customHeight="1">
      <c r="B97" s="1">
        <v>181.0</v>
      </c>
      <c r="C97" s="1" t="s">
        <v>978</v>
      </c>
      <c r="D97" s="1" t="s">
        <v>217</v>
      </c>
      <c r="E97" s="1" t="s">
        <v>2016</v>
      </c>
      <c r="F97" s="1">
        <v>5.0915875005231E13</v>
      </c>
      <c r="G97" s="1">
        <v>1.60078363115E11</v>
      </c>
      <c r="H97" s="1">
        <v>15.0</v>
      </c>
      <c r="I97" s="1">
        <v>106.0</v>
      </c>
      <c r="J97" s="1">
        <v>1.50154E7</v>
      </c>
      <c r="K97" s="1" t="s">
        <v>41</v>
      </c>
      <c r="L97" s="1" t="s">
        <v>603</v>
      </c>
      <c r="M97" s="1" t="s">
        <v>39</v>
      </c>
      <c r="N97" s="1">
        <v>2928.0</v>
      </c>
      <c r="O97" s="1" t="s">
        <v>1283</v>
      </c>
      <c r="P97" s="1" t="s">
        <v>988</v>
      </c>
      <c r="Q97" s="1" t="s">
        <v>990</v>
      </c>
      <c r="R97" s="1" t="s">
        <v>254</v>
      </c>
      <c r="S97" s="1" t="s">
        <v>254</v>
      </c>
      <c r="T97" s="1" t="s">
        <v>173</v>
      </c>
      <c r="U97" s="1" t="s">
        <v>298</v>
      </c>
      <c r="V97" s="1" t="s">
        <v>501</v>
      </c>
      <c r="W97" s="1" t="s">
        <v>252</v>
      </c>
      <c r="X97" s="1" t="s">
        <v>994</v>
      </c>
      <c r="Y97" s="1">
        <v>310.0</v>
      </c>
      <c r="Z97" s="1" t="s">
        <v>883</v>
      </c>
    </row>
    <row r="98" ht="15.75" customHeight="1">
      <c r="B98" s="1">
        <v>146.0</v>
      </c>
      <c r="C98" s="1" t="s">
        <v>978</v>
      </c>
      <c r="D98" s="1" t="s">
        <v>1687</v>
      </c>
      <c r="E98" s="1" t="s">
        <v>2018</v>
      </c>
      <c r="F98" s="1">
        <v>5.0915875004189E13</v>
      </c>
      <c r="G98" s="1" t="s">
        <v>2019</v>
      </c>
      <c r="H98" s="1">
        <v>15.0</v>
      </c>
      <c r="I98" s="1">
        <v>108.0</v>
      </c>
      <c r="J98" s="1">
        <v>1.5500004E7</v>
      </c>
      <c r="K98" s="1" t="s">
        <v>41</v>
      </c>
      <c r="L98" s="1" t="s">
        <v>892</v>
      </c>
      <c r="M98" s="1" t="s">
        <v>2020</v>
      </c>
      <c r="N98" s="1">
        <v>3281.0</v>
      </c>
      <c r="O98" s="1" t="s">
        <v>889</v>
      </c>
      <c r="P98" s="1" t="s">
        <v>988</v>
      </c>
      <c r="Q98" s="1" t="s">
        <v>1001</v>
      </c>
      <c r="R98" s="1" t="s">
        <v>254</v>
      </c>
      <c r="S98" s="1" t="s">
        <v>254</v>
      </c>
      <c r="T98" s="1" t="s">
        <v>173</v>
      </c>
      <c r="U98" s="1" t="s">
        <v>298</v>
      </c>
      <c r="V98" s="1" t="s">
        <v>501</v>
      </c>
      <c r="W98" s="1" t="s">
        <v>252</v>
      </c>
      <c r="X98" s="1" t="s">
        <v>994</v>
      </c>
      <c r="Y98" s="1">
        <v>225.0</v>
      </c>
      <c r="Z98" s="1" t="s">
        <v>896</v>
      </c>
    </row>
    <row r="99" ht="15.75" customHeight="1">
      <c r="B99" s="1">
        <v>147.0</v>
      </c>
      <c r="C99" s="1" t="s">
        <v>978</v>
      </c>
      <c r="D99" s="1" t="s">
        <v>217</v>
      </c>
      <c r="E99" s="1" t="s">
        <v>2021</v>
      </c>
      <c r="F99" s="1">
        <v>5.0915875003964E13</v>
      </c>
      <c r="G99" s="1">
        <v>1.81727120112E11</v>
      </c>
      <c r="H99" s="1">
        <v>15.0</v>
      </c>
      <c r="I99" s="1">
        <v>109.0</v>
      </c>
      <c r="J99" s="1">
        <v>1.4801295E7</v>
      </c>
      <c r="K99" s="1" t="s">
        <v>41</v>
      </c>
      <c r="L99" s="1" t="s">
        <v>679</v>
      </c>
      <c r="M99" s="1" t="s">
        <v>39</v>
      </c>
      <c r="N99" s="1">
        <v>991.0</v>
      </c>
      <c r="O99" s="1" t="s">
        <v>1679</v>
      </c>
      <c r="P99" s="1" t="s">
        <v>988</v>
      </c>
      <c r="Q99" s="1" t="s">
        <v>990</v>
      </c>
      <c r="R99" s="1" t="s">
        <v>254</v>
      </c>
      <c r="S99" s="1" t="s">
        <v>254</v>
      </c>
      <c r="T99" s="1" t="s">
        <v>173</v>
      </c>
      <c r="U99" s="1" t="s">
        <v>298</v>
      </c>
      <c r="V99" s="1" t="s">
        <v>366</v>
      </c>
      <c r="W99" s="1" t="s">
        <v>252</v>
      </c>
      <c r="X99" s="1" t="s">
        <v>994</v>
      </c>
      <c r="Y99" s="1">
        <v>250.0</v>
      </c>
      <c r="Z99" s="1" t="s">
        <v>907</v>
      </c>
    </row>
    <row r="100" ht="15.75" customHeight="1">
      <c r="B100" s="1">
        <v>148.0</v>
      </c>
      <c r="C100" s="1" t="s">
        <v>1150</v>
      </c>
      <c r="D100" s="1" t="s">
        <v>2023</v>
      </c>
      <c r="E100" s="1" t="s">
        <v>2024</v>
      </c>
      <c r="F100" s="1">
        <v>6.482558100085E13</v>
      </c>
      <c r="G100" s="1">
        <v>1.8143811911E11</v>
      </c>
      <c r="H100" s="1">
        <v>4.0</v>
      </c>
      <c r="I100" s="1">
        <v>110.0</v>
      </c>
      <c r="J100" s="1">
        <v>1.4801295E7</v>
      </c>
      <c r="K100" s="1" t="s">
        <v>41</v>
      </c>
      <c r="L100" s="1" t="s">
        <v>679</v>
      </c>
      <c r="M100" s="1" t="s">
        <v>39</v>
      </c>
      <c r="N100" s="1">
        <v>719.0</v>
      </c>
      <c r="O100" s="1" t="s">
        <v>1679</v>
      </c>
      <c r="R100" s="1" t="s">
        <v>1951</v>
      </c>
      <c r="S100" s="1" t="s">
        <v>1951</v>
      </c>
      <c r="T100" s="1" t="s">
        <v>124</v>
      </c>
      <c r="W100" s="1" t="s">
        <v>857</v>
      </c>
      <c r="X100" s="1" t="s">
        <v>994</v>
      </c>
    </row>
    <row r="101" ht="15.75" customHeight="1">
      <c r="B101" s="1">
        <v>149.0</v>
      </c>
      <c r="C101" s="1" t="s">
        <v>978</v>
      </c>
      <c r="D101" s="1" t="s">
        <v>217</v>
      </c>
      <c r="E101" s="1" t="s">
        <v>2025</v>
      </c>
      <c r="F101" s="1">
        <v>5.0915875003883E13</v>
      </c>
      <c r="G101" s="1">
        <v>1.60077818111E11</v>
      </c>
      <c r="H101" s="1">
        <v>15.0</v>
      </c>
      <c r="I101" s="1">
        <v>111.0</v>
      </c>
      <c r="J101" s="1">
        <v>1.440069E7</v>
      </c>
      <c r="K101" s="1" t="s">
        <v>41</v>
      </c>
      <c r="L101" s="1" t="s">
        <v>914</v>
      </c>
      <c r="M101" s="1" t="s">
        <v>39</v>
      </c>
      <c r="N101" s="1">
        <v>1950.0</v>
      </c>
      <c r="O101" s="1" t="s">
        <v>912</v>
      </c>
      <c r="P101" s="1" t="s">
        <v>988</v>
      </c>
      <c r="Q101" s="1" t="s">
        <v>1001</v>
      </c>
      <c r="R101" s="1" t="s">
        <v>254</v>
      </c>
      <c r="S101" s="1" t="s">
        <v>254</v>
      </c>
      <c r="T101" s="1" t="s">
        <v>173</v>
      </c>
      <c r="U101" s="1" t="s">
        <v>298</v>
      </c>
      <c r="V101" s="1" t="s">
        <v>496</v>
      </c>
      <c r="W101" s="1" t="s">
        <v>252</v>
      </c>
      <c r="X101" s="1" t="s">
        <v>994</v>
      </c>
      <c r="Y101" s="1">
        <v>350.0</v>
      </c>
      <c r="Z101" s="1" t="s">
        <v>919</v>
      </c>
    </row>
    <row r="102" ht="15.75" customHeight="1">
      <c r="B102" s="1">
        <v>150.0</v>
      </c>
      <c r="C102" s="1" t="s">
        <v>1150</v>
      </c>
      <c r="D102" s="1" t="s">
        <v>2027</v>
      </c>
      <c r="E102" s="1" t="s">
        <v>2028</v>
      </c>
      <c r="F102" s="1">
        <v>5.4303896001189E13</v>
      </c>
      <c r="G102" s="1">
        <v>2.60669601E8</v>
      </c>
      <c r="H102" s="1">
        <v>4.0</v>
      </c>
      <c r="I102" s="1">
        <v>112.0</v>
      </c>
      <c r="J102" s="1">
        <v>8.92011E7</v>
      </c>
      <c r="K102" s="1" t="s">
        <v>240</v>
      </c>
      <c r="L102" s="1" t="s">
        <v>1151</v>
      </c>
      <c r="M102" s="1" t="s">
        <v>39</v>
      </c>
      <c r="N102" s="1">
        <v>517.0</v>
      </c>
      <c r="O102" s="1" t="s">
        <v>2029</v>
      </c>
      <c r="R102" s="1" t="s">
        <v>1951</v>
      </c>
      <c r="S102" s="1" t="s">
        <v>1951</v>
      </c>
      <c r="T102" s="1" t="s">
        <v>124</v>
      </c>
      <c r="W102" s="1" t="s">
        <v>857</v>
      </c>
      <c r="X102" s="1" t="s">
        <v>994</v>
      </c>
    </row>
    <row r="103" ht="15.75" customHeight="1">
      <c r="B103" s="1">
        <v>151.0</v>
      </c>
      <c r="C103" s="1" t="s">
        <v>978</v>
      </c>
      <c r="D103" s="1" t="s">
        <v>217</v>
      </c>
      <c r="E103" s="1" t="s">
        <v>921</v>
      </c>
      <c r="F103" s="1">
        <v>5.0915875006556E13</v>
      </c>
      <c r="G103" s="1" t="s">
        <v>2030</v>
      </c>
      <c r="H103" s="1">
        <v>15.0</v>
      </c>
      <c r="I103" s="1">
        <v>113.0</v>
      </c>
      <c r="J103" s="1">
        <v>3.84001E7</v>
      </c>
      <c r="K103" s="1" t="s">
        <v>181</v>
      </c>
      <c r="L103" s="1" t="s">
        <v>926</v>
      </c>
      <c r="M103" s="1" t="s">
        <v>39</v>
      </c>
      <c r="N103" s="1">
        <v>396.0</v>
      </c>
      <c r="O103" s="1" t="s">
        <v>2031</v>
      </c>
      <c r="P103" s="1" t="s">
        <v>988</v>
      </c>
      <c r="Q103" s="1" t="s">
        <v>1001</v>
      </c>
      <c r="R103" s="1" t="s">
        <v>254</v>
      </c>
      <c r="S103" s="1" t="s">
        <v>254</v>
      </c>
      <c r="T103" s="1" t="s">
        <v>173</v>
      </c>
      <c r="U103" s="1" t="s">
        <v>298</v>
      </c>
      <c r="V103" s="1" t="s">
        <v>496</v>
      </c>
      <c r="W103" s="1" t="s">
        <v>252</v>
      </c>
      <c r="X103" s="1" t="s">
        <v>994</v>
      </c>
      <c r="Y103" s="1">
        <v>550.0</v>
      </c>
      <c r="Z103" s="1" t="s">
        <v>930</v>
      </c>
    </row>
    <row r="104" ht="15.75" customHeight="1">
      <c r="B104" s="1">
        <v>152.0</v>
      </c>
      <c r="C104" s="1" t="s">
        <v>978</v>
      </c>
      <c r="D104" s="1" t="s">
        <v>217</v>
      </c>
      <c r="E104" s="1" t="s">
        <v>932</v>
      </c>
      <c r="F104" s="1">
        <v>5.0915875005827E13</v>
      </c>
      <c r="G104" s="1">
        <v>4.1797369611E11</v>
      </c>
      <c r="H104" s="1">
        <v>15.0</v>
      </c>
      <c r="I104" s="1">
        <v>114.0</v>
      </c>
      <c r="J104" s="1">
        <v>1.3480005E7</v>
      </c>
      <c r="K104" s="1" t="s">
        <v>41</v>
      </c>
      <c r="L104" s="1" t="s">
        <v>935</v>
      </c>
      <c r="M104" s="1" t="s">
        <v>39</v>
      </c>
      <c r="N104" s="1">
        <v>396.0</v>
      </c>
      <c r="O104" s="1" t="s">
        <v>934</v>
      </c>
      <c r="P104" s="1" t="s">
        <v>988</v>
      </c>
      <c r="Q104" s="1" t="s">
        <v>1001</v>
      </c>
      <c r="R104" s="1" t="s">
        <v>254</v>
      </c>
      <c r="S104" s="1" t="s">
        <v>254</v>
      </c>
      <c r="T104" s="1" t="s">
        <v>173</v>
      </c>
      <c r="U104" s="1" t="s">
        <v>298</v>
      </c>
      <c r="V104" s="1" t="s">
        <v>366</v>
      </c>
      <c r="W104" s="1" t="s">
        <v>252</v>
      </c>
      <c r="X104" s="1" t="s">
        <v>994</v>
      </c>
      <c r="Y104" s="1">
        <v>384.0</v>
      </c>
      <c r="Z104" s="1" t="s">
        <v>944</v>
      </c>
    </row>
    <row r="105" ht="15.75" customHeight="1">
      <c r="B105" s="1">
        <v>153.0</v>
      </c>
      <c r="C105" s="1" t="s">
        <v>978</v>
      </c>
      <c r="D105" s="1" t="s">
        <v>217</v>
      </c>
      <c r="E105" s="1" t="s">
        <v>2033</v>
      </c>
      <c r="F105" s="1">
        <v>5.0915875004936E13</v>
      </c>
      <c r="G105" s="1">
        <v>4.9535447611E11</v>
      </c>
      <c r="H105" s="1">
        <v>15.0</v>
      </c>
      <c r="I105" s="1">
        <v>115.0</v>
      </c>
      <c r="J105" s="1">
        <v>1.990008E7</v>
      </c>
      <c r="K105" s="1" t="s">
        <v>41</v>
      </c>
      <c r="L105" s="1" t="s">
        <v>961</v>
      </c>
      <c r="M105" s="1" t="s">
        <v>39</v>
      </c>
      <c r="N105" s="1">
        <v>273.0</v>
      </c>
      <c r="O105" s="1" t="s">
        <v>2034</v>
      </c>
      <c r="P105" s="1" t="s">
        <v>988</v>
      </c>
      <c r="Q105" s="1" t="s">
        <v>1001</v>
      </c>
      <c r="R105" s="1" t="s">
        <v>254</v>
      </c>
      <c r="S105" s="1" t="s">
        <v>254</v>
      </c>
      <c r="T105" s="1" t="s">
        <v>173</v>
      </c>
      <c r="U105" s="1" t="s">
        <v>298</v>
      </c>
      <c r="V105" s="1" t="s">
        <v>410</v>
      </c>
      <c r="W105" s="1" t="s">
        <v>252</v>
      </c>
      <c r="X105" s="1" t="s">
        <v>994</v>
      </c>
      <c r="Y105" s="1">
        <v>389.0</v>
      </c>
      <c r="Z105" s="1" t="s">
        <v>974</v>
      </c>
    </row>
    <row r="106" ht="15.75" customHeight="1">
      <c r="B106" s="1">
        <v>154.0</v>
      </c>
      <c r="C106" s="1" t="s">
        <v>978</v>
      </c>
      <c r="D106" s="1" t="s">
        <v>217</v>
      </c>
      <c r="E106" s="1" t="s">
        <v>2035</v>
      </c>
      <c r="F106" s="1">
        <v>5.0915875005908E13</v>
      </c>
      <c r="G106" s="1">
        <v>6.37810136114E11</v>
      </c>
      <c r="H106" s="1">
        <v>15.0</v>
      </c>
      <c r="I106" s="1">
        <v>116.0</v>
      </c>
      <c r="J106" s="1">
        <v>1.356064E7</v>
      </c>
      <c r="K106" s="1" t="s">
        <v>41</v>
      </c>
      <c r="L106" s="1" t="s">
        <v>985</v>
      </c>
      <c r="M106" s="1" t="s">
        <v>983</v>
      </c>
      <c r="N106" s="1">
        <v>848.0</v>
      </c>
      <c r="O106" s="1" t="s">
        <v>2037</v>
      </c>
      <c r="P106" s="1" t="s">
        <v>988</v>
      </c>
      <c r="Q106" s="1" t="s">
        <v>1001</v>
      </c>
      <c r="R106" s="1" t="s">
        <v>254</v>
      </c>
      <c r="S106" s="1" t="s">
        <v>254</v>
      </c>
      <c r="T106" s="1" t="s">
        <v>173</v>
      </c>
      <c r="U106" s="1" t="s">
        <v>298</v>
      </c>
      <c r="V106" s="1" t="s">
        <v>366</v>
      </c>
      <c r="W106" s="1" t="s">
        <v>252</v>
      </c>
      <c r="X106" s="1" t="s">
        <v>994</v>
      </c>
      <c r="Y106" s="1">
        <v>239.0</v>
      </c>
      <c r="Z106" s="1" t="s">
        <v>993</v>
      </c>
    </row>
    <row r="107" ht="15.75" customHeight="1">
      <c r="B107" s="1">
        <v>155.0</v>
      </c>
      <c r="C107" s="1" t="s">
        <v>978</v>
      </c>
      <c r="D107" s="1" t="s">
        <v>217</v>
      </c>
      <c r="E107" s="1" t="s">
        <v>2039</v>
      </c>
      <c r="F107" s="1">
        <v>5.091587500426E13</v>
      </c>
      <c r="G107" s="1">
        <v>1.60078016117E11</v>
      </c>
      <c r="H107" s="1">
        <v>15.0</v>
      </c>
      <c r="I107" s="1">
        <v>117.0</v>
      </c>
      <c r="J107" s="1">
        <v>1.701E7</v>
      </c>
      <c r="K107" s="1" t="s">
        <v>41</v>
      </c>
      <c r="L107" s="1" t="s">
        <v>554</v>
      </c>
      <c r="M107" s="1" t="s">
        <v>39</v>
      </c>
      <c r="N107" s="1">
        <v>4061.0</v>
      </c>
      <c r="O107" s="1" t="s">
        <v>1730</v>
      </c>
      <c r="P107" s="1" t="s">
        <v>988</v>
      </c>
      <c r="Q107" s="1" t="s">
        <v>990</v>
      </c>
      <c r="R107" s="1" t="s">
        <v>254</v>
      </c>
      <c r="S107" s="1" t="s">
        <v>254</v>
      </c>
      <c r="T107" s="1" t="s">
        <v>173</v>
      </c>
      <c r="U107" s="1" t="s">
        <v>298</v>
      </c>
      <c r="V107" s="1" t="s">
        <v>410</v>
      </c>
      <c r="W107" s="1" t="s">
        <v>252</v>
      </c>
      <c r="X107" s="1" t="s">
        <v>994</v>
      </c>
      <c r="Y107" s="1">
        <v>400.0</v>
      </c>
      <c r="Z107" s="1" t="s">
        <v>1005</v>
      </c>
    </row>
    <row r="108" ht="15.75" customHeight="1">
      <c r="B108" s="1">
        <v>156.0</v>
      </c>
      <c r="C108" s="1" t="s">
        <v>978</v>
      </c>
      <c r="D108" s="1" t="s">
        <v>217</v>
      </c>
      <c r="E108" s="1" t="s">
        <v>2042</v>
      </c>
      <c r="F108" s="1">
        <v>5.091587500434E13</v>
      </c>
      <c r="G108" s="1">
        <v>2.60384632113E11</v>
      </c>
      <c r="H108" s="1">
        <v>15.0</v>
      </c>
      <c r="I108" s="1">
        <v>118.0</v>
      </c>
      <c r="J108" s="1">
        <v>1.5800215E7</v>
      </c>
      <c r="K108" s="1" t="s">
        <v>41</v>
      </c>
      <c r="L108" s="1" t="s">
        <v>1011</v>
      </c>
      <c r="M108" s="1" t="s">
        <v>39</v>
      </c>
      <c r="N108" s="1">
        <v>80.0</v>
      </c>
      <c r="O108" s="1" t="s">
        <v>2044</v>
      </c>
      <c r="P108" s="1" t="s">
        <v>988</v>
      </c>
      <c r="Q108" s="1" t="s">
        <v>990</v>
      </c>
      <c r="R108" s="1" t="s">
        <v>254</v>
      </c>
      <c r="S108" s="1" t="s">
        <v>254</v>
      </c>
      <c r="T108" s="1" t="s">
        <v>173</v>
      </c>
      <c r="U108" s="1" t="s">
        <v>298</v>
      </c>
      <c r="V108" s="1" t="s">
        <v>501</v>
      </c>
      <c r="W108" s="1" t="s">
        <v>252</v>
      </c>
      <c r="X108" s="1" t="s">
        <v>994</v>
      </c>
      <c r="Y108" s="1">
        <v>250.0</v>
      </c>
      <c r="Z108" s="1" t="s">
        <v>1019</v>
      </c>
    </row>
    <row r="109" ht="15.75" customHeight="1">
      <c r="B109" s="1">
        <v>157.0</v>
      </c>
      <c r="C109" s="1" t="s">
        <v>978</v>
      </c>
      <c r="D109" s="1" t="s">
        <v>217</v>
      </c>
      <c r="E109" s="1" t="s">
        <v>2045</v>
      </c>
      <c r="F109" s="1">
        <v>5.091587500515E13</v>
      </c>
      <c r="G109" s="1">
        <v>2.04415545112E11</v>
      </c>
      <c r="H109" s="1">
        <v>15.0</v>
      </c>
      <c r="I109" s="1">
        <v>119.0</v>
      </c>
      <c r="J109" s="1">
        <v>1.47803E7</v>
      </c>
      <c r="K109" s="1" t="s">
        <v>41</v>
      </c>
      <c r="L109" s="1" t="s">
        <v>1030</v>
      </c>
      <c r="M109" s="1" t="s">
        <v>39</v>
      </c>
      <c r="N109" s="1">
        <v>875.0</v>
      </c>
      <c r="O109" s="1" t="s">
        <v>1028</v>
      </c>
      <c r="P109" s="1" t="s">
        <v>988</v>
      </c>
      <c r="Q109" s="1" t="s">
        <v>1001</v>
      </c>
      <c r="R109" s="1" t="s">
        <v>254</v>
      </c>
      <c r="S109" s="1" t="s">
        <v>254</v>
      </c>
      <c r="T109" s="1" t="s">
        <v>173</v>
      </c>
      <c r="U109" s="1" t="s">
        <v>298</v>
      </c>
      <c r="V109" s="1" t="s">
        <v>366</v>
      </c>
      <c r="W109" s="1" t="s">
        <v>252</v>
      </c>
      <c r="X109" s="1" t="s">
        <v>994</v>
      </c>
      <c r="Y109" s="1">
        <v>430.0</v>
      </c>
      <c r="Z109" s="1" t="s">
        <v>1034</v>
      </c>
    </row>
    <row r="110" ht="15.75" customHeight="1">
      <c r="B110" s="1">
        <v>158.0</v>
      </c>
      <c r="C110" s="1" t="s">
        <v>978</v>
      </c>
      <c r="D110" s="1" t="s">
        <v>217</v>
      </c>
      <c r="E110" s="1" t="s">
        <v>2048</v>
      </c>
      <c r="F110" s="1">
        <v>5.0915875005401E13</v>
      </c>
      <c r="G110" s="1">
        <v>5.62790091115E11</v>
      </c>
      <c r="H110" s="1">
        <v>15.0</v>
      </c>
      <c r="I110" s="1">
        <v>120.0</v>
      </c>
      <c r="J110" s="1">
        <v>1.9010061E7</v>
      </c>
      <c r="K110" s="1" t="s">
        <v>41</v>
      </c>
      <c r="L110" s="1" t="s">
        <v>1861</v>
      </c>
      <c r="M110" s="1" t="s">
        <v>39</v>
      </c>
      <c r="N110" s="1">
        <v>615.0</v>
      </c>
      <c r="O110" s="1" t="s">
        <v>1038</v>
      </c>
      <c r="P110" s="1" t="s">
        <v>988</v>
      </c>
      <c r="Q110" s="1" t="s">
        <v>990</v>
      </c>
      <c r="R110" s="1" t="s">
        <v>254</v>
      </c>
      <c r="S110" s="1" t="s">
        <v>254</v>
      </c>
      <c r="T110" s="1" t="s">
        <v>173</v>
      </c>
      <c r="U110" s="1" t="s">
        <v>298</v>
      </c>
      <c r="V110" s="1" t="s">
        <v>501</v>
      </c>
      <c r="W110" s="1" t="s">
        <v>252</v>
      </c>
      <c r="X110" s="1" t="s">
        <v>994</v>
      </c>
      <c r="Y110" s="1">
        <v>500.0</v>
      </c>
      <c r="Z110" s="1" t="s">
        <v>1045</v>
      </c>
    </row>
    <row r="111" ht="15.75" customHeight="1">
      <c r="B111" s="1">
        <v>168.0</v>
      </c>
      <c r="C111" s="1" t="s">
        <v>978</v>
      </c>
      <c r="D111" s="1" t="s">
        <v>2050</v>
      </c>
      <c r="E111" s="1" t="s">
        <v>2051</v>
      </c>
      <c r="F111" s="1">
        <v>4.0591677000166E13</v>
      </c>
      <c r="G111" s="1">
        <v>2.34144043114E11</v>
      </c>
      <c r="H111" s="1">
        <v>15.0</v>
      </c>
      <c r="I111" s="1">
        <v>121.0</v>
      </c>
      <c r="J111" s="1">
        <v>1.228162E7</v>
      </c>
      <c r="K111" s="1" t="s">
        <v>41</v>
      </c>
      <c r="L111" s="1" t="s">
        <v>1053</v>
      </c>
      <c r="M111" s="1" t="s">
        <v>39</v>
      </c>
      <c r="N111" s="1">
        <v>185.0</v>
      </c>
      <c r="O111" s="1" t="s">
        <v>258</v>
      </c>
      <c r="P111" s="1" t="s">
        <v>988</v>
      </c>
      <c r="Q111" s="1" t="s">
        <v>1001</v>
      </c>
      <c r="R111" s="1" t="s">
        <v>254</v>
      </c>
      <c r="S111" s="1" t="s">
        <v>254</v>
      </c>
      <c r="T111" s="1" t="s">
        <v>288</v>
      </c>
      <c r="U111" s="1" t="s">
        <v>298</v>
      </c>
      <c r="V111" s="1" t="s">
        <v>389</v>
      </c>
      <c r="W111" s="1" t="s">
        <v>252</v>
      </c>
      <c r="X111" s="1" t="s">
        <v>994</v>
      </c>
      <c r="Y111" s="1">
        <v>177.0</v>
      </c>
      <c r="Z111" s="1" t="s">
        <v>1059</v>
      </c>
    </row>
    <row r="112" ht="15.75" customHeight="1">
      <c r="B112" s="1">
        <v>160.0</v>
      </c>
      <c r="C112" s="1" t="s">
        <v>978</v>
      </c>
      <c r="D112" s="1" t="s">
        <v>217</v>
      </c>
      <c r="E112" s="1" t="s">
        <v>1061</v>
      </c>
      <c r="F112" s="1">
        <v>5.091587500264E13</v>
      </c>
      <c r="G112" s="1">
        <v>6.88713192116E11</v>
      </c>
      <c r="H112" s="1">
        <v>4.0</v>
      </c>
      <c r="I112" s="1">
        <v>122.0</v>
      </c>
      <c r="J112" s="1">
        <v>1.20409E7</v>
      </c>
      <c r="K112" s="1" t="s">
        <v>41</v>
      </c>
      <c r="L112" s="1" t="s">
        <v>266</v>
      </c>
      <c r="M112" s="1" t="s">
        <v>834</v>
      </c>
      <c r="N112" s="1">
        <v>1700.0</v>
      </c>
      <c r="O112" s="1" t="s">
        <v>263</v>
      </c>
      <c r="P112" s="1" t="s">
        <v>4</v>
      </c>
      <c r="Q112" s="1" t="s">
        <v>1001</v>
      </c>
      <c r="R112" s="1" t="s">
        <v>1951</v>
      </c>
      <c r="S112" s="1" t="s">
        <v>1951</v>
      </c>
      <c r="T112" s="1" t="s">
        <v>173</v>
      </c>
      <c r="U112" s="1" t="s">
        <v>298</v>
      </c>
      <c r="V112" s="1" t="s">
        <v>389</v>
      </c>
      <c r="W112" s="1" t="s">
        <v>252</v>
      </c>
      <c r="X112" s="1" t="s">
        <v>994</v>
      </c>
      <c r="Y112" s="1">
        <v>212.0</v>
      </c>
      <c r="Z112" s="1" t="s">
        <v>1068</v>
      </c>
    </row>
    <row r="113" ht="15.75" customHeight="1">
      <c r="B113" s="1">
        <v>167.0</v>
      </c>
      <c r="C113" s="1" t="s">
        <v>978</v>
      </c>
      <c r="D113" s="1" t="s">
        <v>217</v>
      </c>
      <c r="E113" s="1" t="s">
        <v>1070</v>
      </c>
      <c r="F113" s="1">
        <v>5.0915875003379E13</v>
      </c>
      <c r="G113" s="1" t="s">
        <v>2055</v>
      </c>
      <c r="H113" s="1">
        <v>15.0</v>
      </c>
      <c r="I113" s="1">
        <v>123.0</v>
      </c>
      <c r="J113" s="1">
        <v>2.754208E7</v>
      </c>
      <c r="K113" s="1" t="s">
        <v>209</v>
      </c>
      <c r="L113" s="1" t="s">
        <v>1075</v>
      </c>
      <c r="M113" s="1" t="s">
        <v>2056</v>
      </c>
      <c r="N113" s="1">
        <v>185.0</v>
      </c>
      <c r="O113" s="1" t="s">
        <v>2057</v>
      </c>
      <c r="P113" s="1" t="s">
        <v>988</v>
      </c>
      <c r="Q113" s="1" t="s">
        <v>1001</v>
      </c>
      <c r="R113" s="1" t="s">
        <v>254</v>
      </c>
      <c r="S113" s="1" t="s">
        <v>254</v>
      </c>
      <c r="T113" s="1" t="s">
        <v>173</v>
      </c>
      <c r="U113" s="1" t="s">
        <v>298</v>
      </c>
      <c r="V113" s="1" t="s">
        <v>517</v>
      </c>
      <c r="W113" s="1" t="s">
        <v>252</v>
      </c>
      <c r="X113" s="1" t="s">
        <v>994</v>
      </c>
      <c r="Y113" s="1">
        <v>300.0</v>
      </c>
      <c r="Z113" s="1" t="s">
        <v>1079</v>
      </c>
    </row>
    <row r="114" ht="15.75" customHeight="1">
      <c r="B114" s="1">
        <v>161.0</v>
      </c>
      <c r="C114" s="1" t="s">
        <v>978</v>
      </c>
      <c r="D114" s="1" t="s">
        <v>217</v>
      </c>
      <c r="E114" s="1" t="s">
        <v>2059</v>
      </c>
      <c r="F114" s="1">
        <v>5.091587500272E13</v>
      </c>
      <c r="G114" s="1">
        <v>1.25566649113E11</v>
      </c>
      <c r="H114" s="1">
        <v>15.0</v>
      </c>
      <c r="I114" s="1">
        <v>124.0</v>
      </c>
      <c r="J114" s="1">
        <v>1.221026E7</v>
      </c>
      <c r="K114" s="1" t="s">
        <v>41</v>
      </c>
      <c r="L114" s="1" t="s">
        <v>271</v>
      </c>
      <c r="M114" s="1" t="s">
        <v>39</v>
      </c>
      <c r="N114" s="1">
        <v>115.0</v>
      </c>
      <c r="O114" s="1" t="s">
        <v>258</v>
      </c>
      <c r="P114" s="1" t="s">
        <v>988</v>
      </c>
      <c r="Q114" s="1" t="s">
        <v>1001</v>
      </c>
      <c r="R114" s="1" t="s">
        <v>254</v>
      </c>
      <c r="S114" s="1" t="s">
        <v>254</v>
      </c>
      <c r="T114" s="1" t="s">
        <v>173</v>
      </c>
      <c r="U114" s="1" t="s">
        <v>298</v>
      </c>
      <c r="V114" s="1" t="s">
        <v>295</v>
      </c>
      <c r="W114" s="1" t="s">
        <v>252</v>
      </c>
      <c r="X114" s="1" t="s">
        <v>994</v>
      </c>
      <c r="Y114" s="1">
        <v>386.0</v>
      </c>
      <c r="Z114" s="1" t="s">
        <v>1088</v>
      </c>
    </row>
    <row r="115" ht="15.75" customHeight="1">
      <c r="B115" s="1">
        <v>162.0</v>
      </c>
      <c r="C115" s="1" t="s">
        <v>978</v>
      </c>
      <c r="D115" s="1" t="s">
        <v>217</v>
      </c>
      <c r="E115" s="1" t="s">
        <v>2061</v>
      </c>
      <c r="F115" s="1">
        <v>5.0915875002801E13</v>
      </c>
      <c r="G115" s="1">
        <v>1.25566658114E11</v>
      </c>
      <c r="H115" s="1">
        <v>4.0</v>
      </c>
      <c r="I115" s="1">
        <v>125.0</v>
      </c>
      <c r="J115" s="1">
        <v>1.221026E7</v>
      </c>
      <c r="K115" s="1" t="s">
        <v>41</v>
      </c>
      <c r="L115" s="1" t="s">
        <v>271</v>
      </c>
      <c r="M115" s="1" t="s">
        <v>39</v>
      </c>
      <c r="N115" s="1">
        <v>358.0</v>
      </c>
      <c r="O115" s="1" t="s">
        <v>258</v>
      </c>
      <c r="P115" s="1" t="s">
        <v>988</v>
      </c>
      <c r="Q115" s="1" t="s">
        <v>1001</v>
      </c>
      <c r="R115" s="1" t="s">
        <v>1951</v>
      </c>
      <c r="S115" s="1" t="s">
        <v>1951</v>
      </c>
      <c r="T115" s="1" t="s">
        <v>173</v>
      </c>
      <c r="U115" s="1" t="s">
        <v>298</v>
      </c>
      <c r="V115" s="1" t="s">
        <v>295</v>
      </c>
      <c r="W115" s="1" t="s">
        <v>252</v>
      </c>
      <c r="X115" s="1" t="s">
        <v>994</v>
      </c>
      <c r="Y115" s="1">
        <v>350.0</v>
      </c>
      <c r="Z115" s="1" t="s">
        <v>1098</v>
      </c>
    </row>
    <row r="116" ht="15.75" customHeight="1">
      <c r="B116" s="1">
        <v>163.0</v>
      </c>
      <c r="C116" s="1" t="s">
        <v>978</v>
      </c>
      <c r="D116" s="1" t="s">
        <v>217</v>
      </c>
      <c r="E116" s="1" t="s">
        <v>2062</v>
      </c>
      <c r="F116" s="1">
        <v>5.0915875002992E13</v>
      </c>
      <c r="G116" s="1" t="s">
        <v>2063</v>
      </c>
      <c r="H116" s="1">
        <v>4.0</v>
      </c>
      <c r="I116" s="1">
        <v>126.0</v>
      </c>
      <c r="J116" s="1">
        <v>1.250002E7</v>
      </c>
      <c r="K116" s="1" t="s">
        <v>41</v>
      </c>
      <c r="L116" s="1" t="s">
        <v>221</v>
      </c>
      <c r="M116" s="1" t="s">
        <v>39</v>
      </c>
      <c r="N116" s="1">
        <v>107.0</v>
      </c>
      <c r="O116" s="1" t="s">
        <v>2064</v>
      </c>
      <c r="P116" s="1" t="s">
        <v>988</v>
      </c>
      <c r="Q116" s="1" t="s">
        <v>1001</v>
      </c>
      <c r="R116" s="1" t="s">
        <v>1951</v>
      </c>
      <c r="S116" s="1" t="s">
        <v>1951</v>
      </c>
      <c r="T116" s="1" t="s">
        <v>173</v>
      </c>
      <c r="U116" s="1" t="s">
        <v>298</v>
      </c>
      <c r="V116" s="1" t="s">
        <v>517</v>
      </c>
      <c r="W116" s="1" t="s">
        <v>252</v>
      </c>
      <c r="X116" s="1" t="s">
        <v>994</v>
      </c>
      <c r="Y116" s="1">
        <v>338.0</v>
      </c>
      <c r="Z116" s="1" t="s">
        <v>1108</v>
      </c>
    </row>
    <row r="117" ht="15.75" customHeight="1">
      <c r="B117" s="1">
        <v>145.0</v>
      </c>
      <c r="C117" s="1" t="s">
        <v>978</v>
      </c>
      <c r="D117" s="1" t="s">
        <v>217</v>
      </c>
      <c r="E117" s="1" t="s">
        <v>2066</v>
      </c>
      <c r="F117" s="1">
        <v>5.0915875003026E13</v>
      </c>
      <c r="G117" s="1" t="s">
        <v>2067</v>
      </c>
      <c r="H117" s="1">
        <v>15.0</v>
      </c>
      <c r="I117" s="1">
        <v>127.0</v>
      </c>
      <c r="J117" s="1">
        <v>1.2327005E7</v>
      </c>
      <c r="K117" s="1" t="s">
        <v>41</v>
      </c>
      <c r="L117" s="1" t="s">
        <v>77</v>
      </c>
      <c r="M117" s="1" t="s">
        <v>39</v>
      </c>
      <c r="N117" s="1">
        <v>148.0</v>
      </c>
      <c r="O117" s="1" t="s">
        <v>1114</v>
      </c>
      <c r="P117" s="1" t="s">
        <v>988</v>
      </c>
      <c r="Q117" s="1" t="s">
        <v>1001</v>
      </c>
      <c r="R117" s="1" t="s">
        <v>254</v>
      </c>
      <c r="S117" s="1" t="s">
        <v>254</v>
      </c>
      <c r="T117" s="1" t="s">
        <v>173</v>
      </c>
      <c r="U117" s="1" t="s">
        <v>298</v>
      </c>
      <c r="V117" s="1" t="s">
        <v>466</v>
      </c>
      <c r="W117" s="1" t="s">
        <v>252</v>
      </c>
      <c r="X117" s="1" t="s">
        <v>994</v>
      </c>
      <c r="Y117" s="1">
        <v>350.0</v>
      </c>
      <c r="Z117" s="1" t="s">
        <v>1122</v>
      </c>
    </row>
    <row r="118" ht="15.75" customHeight="1">
      <c r="B118" s="1">
        <v>164.0</v>
      </c>
      <c r="C118" s="1" t="s">
        <v>978</v>
      </c>
      <c r="D118" s="1" t="s">
        <v>217</v>
      </c>
      <c r="E118" s="1" t="s">
        <v>2069</v>
      </c>
      <c r="F118" s="1">
        <v>5.0915875003107E13</v>
      </c>
      <c r="G118" s="1" t="s">
        <v>2070</v>
      </c>
      <c r="H118" s="1">
        <v>15.0</v>
      </c>
      <c r="I118" s="1">
        <v>128.0</v>
      </c>
      <c r="J118" s="1">
        <v>1.201007E7</v>
      </c>
      <c r="K118" s="1" t="s">
        <v>41</v>
      </c>
      <c r="L118" s="1" t="s">
        <v>266</v>
      </c>
      <c r="M118" s="1" t="s">
        <v>39</v>
      </c>
      <c r="N118" s="1">
        <v>147.0</v>
      </c>
      <c r="O118" s="1" t="s">
        <v>2071</v>
      </c>
      <c r="P118" s="1" t="s">
        <v>988</v>
      </c>
      <c r="Q118" s="1" t="s">
        <v>1001</v>
      </c>
      <c r="R118" s="1" t="s">
        <v>254</v>
      </c>
      <c r="S118" s="1" t="s">
        <v>254</v>
      </c>
      <c r="T118" s="1" t="s">
        <v>173</v>
      </c>
      <c r="U118" s="1" t="s">
        <v>298</v>
      </c>
      <c r="V118" s="1" t="s">
        <v>389</v>
      </c>
      <c r="W118" s="1" t="s">
        <v>252</v>
      </c>
      <c r="X118" s="1" t="s">
        <v>994</v>
      </c>
      <c r="Y118" s="1">
        <v>306.0</v>
      </c>
      <c r="Z118" s="1" t="s">
        <v>1132</v>
      </c>
    </row>
    <row r="119" ht="15.75" customHeight="1">
      <c r="B119" s="1">
        <v>169.0</v>
      </c>
      <c r="C119" s="1" t="s">
        <v>978</v>
      </c>
      <c r="D119" s="1" t="s">
        <v>1015</v>
      </c>
      <c r="E119" s="1" t="s">
        <v>2072</v>
      </c>
      <c r="F119" s="1">
        <v>5.0915875003298E13</v>
      </c>
      <c r="G119" s="1" t="s">
        <v>2073</v>
      </c>
      <c r="H119" s="1">
        <v>4.0</v>
      </c>
      <c r="I119" s="1">
        <v>129.0</v>
      </c>
      <c r="J119" s="1">
        <v>1.2230001E7</v>
      </c>
      <c r="K119" s="1" t="s">
        <v>41</v>
      </c>
      <c r="L119" s="1" t="s">
        <v>704</v>
      </c>
      <c r="M119" s="1" t="s">
        <v>701</v>
      </c>
      <c r="N119" s="1">
        <v>1846.0</v>
      </c>
      <c r="O119" s="1" t="s">
        <v>698</v>
      </c>
      <c r="R119" s="1" t="s">
        <v>1951</v>
      </c>
      <c r="S119" s="1" t="s">
        <v>1951</v>
      </c>
      <c r="T119" s="1" t="s">
        <v>173</v>
      </c>
      <c r="U119" s="1" t="s">
        <v>298</v>
      </c>
      <c r="V119" s="1" t="s">
        <v>466</v>
      </c>
      <c r="W119" s="1" t="s">
        <v>857</v>
      </c>
      <c r="X119" s="1" t="s">
        <v>994</v>
      </c>
    </row>
    <row r="120" ht="15.75" customHeight="1">
      <c r="B120" s="1">
        <v>137.0</v>
      </c>
      <c r="C120" s="1" t="s">
        <v>978</v>
      </c>
      <c r="D120" s="1" t="s">
        <v>1015</v>
      </c>
      <c r="E120" s="1" t="s">
        <v>2075</v>
      </c>
      <c r="F120" s="1">
        <v>5.8451055000106E13</v>
      </c>
      <c r="G120" s="1">
        <v>6.45276604117E11</v>
      </c>
      <c r="H120" s="1">
        <v>15.0</v>
      </c>
      <c r="I120" s="1">
        <v>130.0</v>
      </c>
      <c r="J120" s="1">
        <v>1.223521E7</v>
      </c>
      <c r="K120" s="1" t="s">
        <v>41</v>
      </c>
      <c r="L120" s="1" t="s">
        <v>271</v>
      </c>
      <c r="M120" s="1" t="s">
        <v>1023</v>
      </c>
      <c r="N120" s="1">
        <v>123.0</v>
      </c>
      <c r="O120" s="1" t="s">
        <v>1020</v>
      </c>
      <c r="R120" s="1" t="s">
        <v>254</v>
      </c>
      <c r="S120" s="1" t="s">
        <v>254</v>
      </c>
      <c r="T120" s="1" t="s">
        <v>124</v>
      </c>
      <c r="W120" s="1" t="s">
        <v>857</v>
      </c>
      <c r="X120" s="1" t="s">
        <v>994</v>
      </c>
    </row>
    <row r="121" ht="15.75" customHeight="1">
      <c r="B121" s="1">
        <v>178.0</v>
      </c>
      <c r="C121" s="1" t="s">
        <v>1150</v>
      </c>
      <c r="D121" s="1" t="s">
        <v>2076</v>
      </c>
      <c r="E121" s="1" t="s">
        <v>2077</v>
      </c>
      <c r="F121" s="1">
        <v>5.962165000168E12</v>
      </c>
      <c r="G121" s="1">
        <v>7.7629823E7</v>
      </c>
      <c r="H121" s="1">
        <v>4.0</v>
      </c>
      <c r="I121" s="1">
        <v>131.0</v>
      </c>
      <c r="J121" s="1">
        <v>2.753532E7</v>
      </c>
      <c r="K121" s="1" t="s">
        <v>209</v>
      </c>
      <c r="L121" s="1" t="s">
        <v>1075</v>
      </c>
      <c r="M121" s="1" t="s">
        <v>2078</v>
      </c>
      <c r="N121" s="1">
        <v>500.0</v>
      </c>
      <c r="O121" s="1" t="s">
        <v>1287</v>
      </c>
      <c r="R121" s="1" t="s">
        <v>1951</v>
      </c>
      <c r="S121" s="1" t="s">
        <v>1951</v>
      </c>
      <c r="T121" s="1" t="s">
        <v>124</v>
      </c>
      <c r="W121" s="1" t="s">
        <v>857</v>
      </c>
      <c r="X121" s="1" t="s">
        <v>994</v>
      </c>
    </row>
    <row r="122" ht="15.75" customHeight="1">
      <c r="B122" s="1">
        <v>368.0</v>
      </c>
      <c r="C122" s="1" t="s">
        <v>978</v>
      </c>
      <c r="D122" s="1" t="s">
        <v>2079</v>
      </c>
      <c r="E122" s="1" t="s">
        <v>2080</v>
      </c>
      <c r="F122" s="1">
        <v>5.4620686000142E13</v>
      </c>
      <c r="G122" s="1">
        <v>13131.0</v>
      </c>
      <c r="H122" s="1">
        <v>1.0</v>
      </c>
      <c r="I122" s="1">
        <v>151.0</v>
      </c>
      <c r="J122" s="1">
        <v>1.223101E7</v>
      </c>
      <c r="K122" s="1" t="s">
        <v>41</v>
      </c>
      <c r="L122" s="1" t="s">
        <v>271</v>
      </c>
      <c r="M122" s="1" t="s">
        <v>673</v>
      </c>
      <c r="N122" s="1">
        <v>1692.0</v>
      </c>
      <c r="O122" s="1" t="s">
        <v>670</v>
      </c>
      <c r="R122" s="1" t="s">
        <v>124</v>
      </c>
      <c r="S122" s="1" t="s">
        <v>124</v>
      </c>
      <c r="T122" s="1" t="s">
        <v>124</v>
      </c>
      <c r="W122" s="1" t="s">
        <v>857</v>
      </c>
      <c r="X122" s="1" t="s">
        <v>1116</v>
      </c>
    </row>
    <row r="123" ht="15.75" customHeight="1">
      <c r="B123" s="1">
        <v>223.0</v>
      </c>
      <c r="C123" s="1" t="s">
        <v>978</v>
      </c>
      <c r="D123" s="1" t="s">
        <v>2081</v>
      </c>
      <c r="E123" s="1" t="s">
        <v>1134</v>
      </c>
      <c r="F123" s="1">
        <v>7.8842440000183E13</v>
      </c>
      <c r="G123" s="1">
        <v>2.5117512E8</v>
      </c>
      <c r="H123" s="1">
        <v>50.0</v>
      </c>
      <c r="I123" s="1">
        <v>201.0</v>
      </c>
      <c r="J123" s="1">
        <v>8.8075301E7</v>
      </c>
      <c r="K123" s="1" t="s">
        <v>240</v>
      </c>
      <c r="L123" s="1" t="s">
        <v>1137</v>
      </c>
      <c r="M123" s="1" t="s">
        <v>2083</v>
      </c>
      <c r="N123" s="1">
        <v>2045.0</v>
      </c>
      <c r="O123" s="1" t="s">
        <v>2084</v>
      </c>
      <c r="P123" s="1" t="s">
        <v>988</v>
      </c>
      <c r="Q123" s="1" t="s">
        <v>1001</v>
      </c>
      <c r="R123" s="1" t="s">
        <v>2085</v>
      </c>
      <c r="S123" s="1" t="s">
        <v>2085</v>
      </c>
      <c r="T123" s="1" t="s">
        <v>233</v>
      </c>
      <c r="U123" s="1" t="s">
        <v>575</v>
      </c>
      <c r="V123" s="1" t="s">
        <v>351</v>
      </c>
      <c r="W123" s="1" t="s">
        <v>252</v>
      </c>
      <c r="X123" s="1" t="s">
        <v>2086</v>
      </c>
      <c r="Y123" s="1">
        <v>165.0</v>
      </c>
      <c r="Z123" s="1" t="s">
        <v>1145</v>
      </c>
    </row>
    <row r="124" ht="15.75" customHeight="1">
      <c r="B124" s="1">
        <v>277.0</v>
      </c>
      <c r="C124" s="1" t="s">
        <v>978</v>
      </c>
      <c r="D124" s="1" t="s">
        <v>2081</v>
      </c>
      <c r="E124" s="1" t="s">
        <v>1148</v>
      </c>
      <c r="F124" s="1">
        <v>7.8842440002399E13</v>
      </c>
      <c r="G124" s="1">
        <v>2.61725211E8</v>
      </c>
      <c r="H124" s="1">
        <v>50.0</v>
      </c>
      <c r="I124" s="1">
        <v>202.0</v>
      </c>
      <c r="J124" s="1">
        <v>8.9201601E7</v>
      </c>
      <c r="K124" s="1" t="s">
        <v>240</v>
      </c>
      <c r="L124" s="1" t="s">
        <v>1151</v>
      </c>
      <c r="M124" s="1" t="s">
        <v>39</v>
      </c>
      <c r="N124" s="1">
        <v>515.0</v>
      </c>
      <c r="O124" s="1" t="s">
        <v>1695</v>
      </c>
      <c r="P124" s="1" t="s">
        <v>988</v>
      </c>
      <c r="Q124" s="1" t="s">
        <v>1001</v>
      </c>
      <c r="R124" s="1" t="s">
        <v>2085</v>
      </c>
      <c r="S124" s="1" t="s">
        <v>2085</v>
      </c>
      <c r="T124" s="1" t="s">
        <v>233</v>
      </c>
      <c r="U124" s="1" t="s">
        <v>575</v>
      </c>
      <c r="V124" s="1" t="s">
        <v>351</v>
      </c>
      <c r="W124" s="1" t="s">
        <v>252</v>
      </c>
      <c r="X124" s="1" t="s">
        <v>2086</v>
      </c>
      <c r="Y124" s="1">
        <v>195.0</v>
      </c>
      <c r="Z124" s="1" t="s">
        <v>1160</v>
      </c>
    </row>
    <row r="125" ht="15.75" customHeight="1">
      <c r="B125" s="1">
        <v>260.0</v>
      </c>
      <c r="C125" s="1" t="s">
        <v>1150</v>
      </c>
      <c r="D125" s="1" t="s">
        <v>2081</v>
      </c>
      <c r="E125" s="1" t="s">
        <v>2089</v>
      </c>
      <c r="F125" s="1">
        <v>7.8842440009059E13</v>
      </c>
      <c r="G125" s="1">
        <v>2.61494112E8</v>
      </c>
      <c r="H125" s="1">
        <v>50.0</v>
      </c>
      <c r="I125" s="1">
        <v>203.0</v>
      </c>
      <c r="J125" s="1">
        <v>8.81108E7</v>
      </c>
      <c r="K125" s="1" t="s">
        <v>240</v>
      </c>
      <c r="L125" s="1" t="s">
        <v>1205</v>
      </c>
      <c r="M125" s="1" t="s">
        <v>2090</v>
      </c>
      <c r="N125" s="1">
        <v>256.0</v>
      </c>
      <c r="O125" s="1" t="s">
        <v>2091</v>
      </c>
      <c r="P125" s="1" t="s">
        <v>988</v>
      </c>
      <c r="Q125" s="1" t="s">
        <v>1001</v>
      </c>
      <c r="R125" s="1" t="s">
        <v>2085</v>
      </c>
      <c r="S125" s="1" t="s">
        <v>2085</v>
      </c>
      <c r="T125" s="1" t="s">
        <v>233</v>
      </c>
      <c r="U125" s="1" t="s">
        <v>575</v>
      </c>
      <c r="V125" s="1" t="s">
        <v>351</v>
      </c>
      <c r="W125" s="1" t="s">
        <v>857</v>
      </c>
      <c r="X125" s="1" t="s">
        <v>2086</v>
      </c>
      <c r="Y125" s="1">
        <v>1.0</v>
      </c>
    </row>
    <row r="126" ht="15.75" customHeight="1">
      <c r="B126" s="1">
        <v>256.0</v>
      </c>
      <c r="C126" s="1" t="s">
        <v>978</v>
      </c>
      <c r="D126" s="1" t="s">
        <v>2081</v>
      </c>
      <c r="E126" s="1" t="s">
        <v>2093</v>
      </c>
      <c r="F126" s="1">
        <v>7.884244000093E13</v>
      </c>
      <c r="G126" s="1">
        <v>2.55943504E8</v>
      </c>
      <c r="H126" s="1">
        <v>50.0</v>
      </c>
      <c r="I126" s="1">
        <v>204.0</v>
      </c>
      <c r="J126" s="1">
        <v>8.80753E7</v>
      </c>
      <c r="K126" s="1" t="s">
        <v>240</v>
      </c>
      <c r="L126" s="1" t="s">
        <v>1137</v>
      </c>
      <c r="M126" s="1" t="s">
        <v>2083</v>
      </c>
      <c r="N126" s="1">
        <v>2086.0</v>
      </c>
      <c r="O126" s="1" t="s">
        <v>2084</v>
      </c>
      <c r="P126" s="1" t="s">
        <v>988</v>
      </c>
      <c r="Q126" s="1" t="s">
        <v>1001</v>
      </c>
      <c r="R126" s="1" t="s">
        <v>2085</v>
      </c>
      <c r="S126" s="1" t="s">
        <v>2085</v>
      </c>
      <c r="T126" s="1" t="s">
        <v>233</v>
      </c>
      <c r="U126" s="1" t="s">
        <v>575</v>
      </c>
      <c r="V126" s="1" t="s">
        <v>351</v>
      </c>
      <c r="W126" s="1" t="s">
        <v>857</v>
      </c>
      <c r="X126" s="1" t="s">
        <v>2086</v>
      </c>
      <c r="Y126" s="1">
        <v>99.0</v>
      </c>
      <c r="Z126" s="1" t="s">
        <v>1171</v>
      </c>
    </row>
    <row r="127" ht="15.75" customHeight="1">
      <c r="B127" s="1">
        <v>362.0</v>
      </c>
      <c r="C127" s="1" t="s">
        <v>978</v>
      </c>
      <c r="D127" s="1" t="s">
        <v>2081</v>
      </c>
      <c r="E127" s="1" t="s">
        <v>2096</v>
      </c>
      <c r="F127" s="1">
        <v>7.8842440002046E13</v>
      </c>
      <c r="G127" s="1">
        <v>2.61494104E8</v>
      </c>
      <c r="H127" s="1">
        <v>50.0</v>
      </c>
      <c r="I127" s="1">
        <v>205.0</v>
      </c>
      <c r="J127" s="1">
        <v>8.8058001E7</v>
      </c>
      <c r="K127" s="1" t="s">
        <v>240</v>
      </c>
      <c r="L127" s="1" t="s">
        <v>1137</v>
      </c>
      <c r="M127" s="1" t="s">
        <v>2097</v>
      </c>
      <c r="N127" s="1">
        <v>103.0</v>
      </c>
      <c r="O127" s="1" t="s">
        <v>1346</v>
      </c>
      <c r="P127" s="1" t="s">
        <v>988</v>
      </c>
      <c r="Q127" s="1" t="s">
        <v>990</v>
      </c>
      <c r="R127" s="1" t="s">
        <v>2085</v>
      </c>
      <c r="S127" s="1" t="s">
        <v>2085</v>
      </c>
      <c r="T127" s="1" t="s">
        <v>233</v>
      </c>
      <c r="U127" s="1" t="s">
        <v>575</v>
      </c>
      <c r="V127" s="1" t="s">
        <v>351</v>
      </c>
      <c r="W127" s="1" t="s">
        <v>252</v>
      </c>
      <c r="X127" s="1" t="s">
        <v>2086</v>
      </c>
      <c r="Y127" s="1">
        <v>160.0</v>
      </c>
      <c r="Z127" s="1" t="s">
        <v>1179</v>
      </c>
    </row>
    <row r="128" ht="15.75" customHeight="1">
      <c r="B128" s="1">
        <v>257.0</v>
      </c>
      <c r="C128" s="1" t="s">
        <v>1150</v>
      </c>
      <c r="D128" s="1" t="s">
        <v>2099</v>
      </c>
      <c r="E128" s="1" t="s">
        <v>2100</v>
      </c>
      <c r="F128" s="1">
        <v>9.5398679000125E13</v>
      </c>
      <c r="G128" s="1">
        <v>2.61494104E8</v>
      </c>
      <c r="H128" s="1">
        <v>50.0</v>
      </c>
      <c r="I128" s="1">
        <v>207.0</v>
      </c>
      <c r="J128" s="1">
        <v>8.801043E7</v>
      </c>
      <c r="K128" s="1" t="s">
        <v>240</v>
      </c>
      <c r="L128" s="1" t="s">
        <v>1137</v>
      </c>
      <c r="M128" s="1" t="s">
        <v>39</v>
      </c>
      <c r="N128" s="1">
        <v>103.0</v>
      </c>
      <c r="O128" s="1" t="s">
        <v>2103</v>
      </c>
      <c r="R128" s="1" t="s">
        <v>2085</v>
      </c>
      <c r="S128" s="1" t="s">
        <v>2085</v>
      </c>
      <c r="T128" s="1" t="s">
        <v>233</v>
      </c>
      <c r="U128" s="1" t="s">
        <v>575</v>
      </c>
      <c r="V128" s="1" t="s">
        <v>351</v>
      </c>
      <c r="W128" s="1" t="s">
        <v>857</v>
      </c>
      <c r="X128" s="1" t="s">
        <v>2086</v>
      </c>
      <c r="Y128" s="1">
        <v>1.0</v>
      </c>
    </row>
    <row r="129" ht="15.75" customHeight="1">
      <c r="B129" s="1">
        <v>258.0</v>
      </c>
      <c r="C129" s="1" t="s">
        <v>978</v>
      </c>
      <c r="D129" s="1" t="s">
        <v>2081</v>
      </c>
      <c r="E129" s="1" t="s">
        <v>1182</v>
      </c>
      <c r="F129" s="1">
        <v>7.8842440000264E13</v>
      </c>
      <c r="G129" s="1">
        <v>2.53398223E8</v>
      </c>
      <c r="H129" s="1">
        <v>50.0</v>
      </c>
      <c r="I129" s="1">
        <v>208.0</v>
      </c>
      <c r="J129" s="1">
        <v>8.8330666E7</v>
      </c>
      <c r="K129" s="1" t="s">
        <v>240</v>
      </c>
      <c r="L129" s="1" t="s">
        <v>1184</v>
      </c>
      <c r="M129" s="1" t="s">
        <v>39</v>
      </c>
      <c r="N129" s="1">
        <v>91.0</v>
      </c>
      <c r="O129" s="1" t="s">
        <v>2104</v>
      </c>
      <c r="P129" s="1" t="s">
        <v>988</v>
      </c>
      <c r="Q129" s="1" t="s">
        <v>1001</v>
      </c>
      <c r="R129" s="1" t="s">
        <v>2085</v>
      </c>
      <c r="S129" s="1" t="s">
        <v>2085</v>
      </c>
      <c r="T129" s="1" t="s">
        <v>233</v>
      </c>
      <c r="U129" s="1" t="s">
        <v>575</v>
      </c>
      <c r="V129" s="1" t="s">
        <v>351</v>
      </c>
      <c r="W129" s="1" t="s">
        <v>252</v>
      </c>
      <c r="X129" s="1" t="s">
        <v>2086</v>
      </c>
      <c r="Y129" s="1">
        <v>224.0</v>
      </c>
      <c r="Z129" s="1" t="s">
        <v>1188</v>
      </c>
    </row>
    <row r="130" ht="15.75" customHeight="1">
      <c r="B130" s="1">
        <v>259.0</v>
      </c>
      <c r="C130" s="1" t="s">
        <v>978</v>
      </c>
      <c r="D130" s="1" t="s">
        <v>2081</v>
      </c>
      <c r="E130" s="1" t="s">
        <v>1193</v>
      </c>
      <c r="F130" s="1">
        <v>7.8842440000345E13</v>
      </c>
      <c r="G130" s="1">
        <v>2.53579449E8</v>
      </c>
      <c r="H130" s="1">
        <v>50.0</v>
      </c>
      <c r="I130" s="1">
        <v>209.0</v>
      </c>
      <c r="J130" s="1">
        <v>8.801E7</v>
      </c>
      <c r="K130" s="1" t="s">
        <v>240</v>
      </c>
      <c r="L130" s="1" t="s">
        <v>1137</v>
      </c>
      <c r="M130" s="1" t="s">
        <v>39</v>
      </c>
      <c r="N130" s="1">
        <v>304.0</v>
      </c>
      <c r="O130" s="1" t="s">
        <v>2106</v>
      </c>
      <c r="P130" s="1" t="s">
        <v>988</v>
      </c>
      <c r="Q130" s="1" t="s">
        <v>990</v>
      </c>
      <c r="R130" s="1" t="s">
        <v>2085</v>
      </c>
      <c r="S130" s="1" t="s">
        <v>2085</v>
      </c>
      <c r="T130" s="1" t="s">
        <v>233</v>
      </c>
      <c r="U130" s="1" t="s">
        <v>575</v>
      </c>
      <c r="V130" s="1" t="s">
        <v>351</v>
      </c>
      <c r="W130" s="1" t="s">
        <v>252</v>
      </c>
      <c r="X130" s="1" t="s">
        <v>2086</v>
      </c>
      <c r="Y130" s="1">
        <v>317.0</v>
      </c>
      <c r="Z130" s="1" t="s">
        <v>1199</v>
      </c>
    </row>
    <row r="131" ht="15.75" customHeight="1">
      <c r="B131" s="1">
        <v>261.0</v>
      </c>
      <c r="C131" s="1" t="s">
        <v>978</v>
      </c>
      <c r="D131" s="1" t="s">
        <v>2081</v>
      </c>
      <c r="E131" s="1" t="s">
        <v>1202</v>
      </c>
      <c r="F131" s="1">
        <v>7.8842440000426E13</v>
      </c>
      <c r="G131" s="1">
        <v>2.54304605E8</v>
      </c>
      <c r="H131" s="1">
        <v>50.0</v>
      </c>
      <c r="I131" s="1">
        <v>211.0</v>
      </c>
      <c r="J131" s="1">
        <v>8.81179E7</v>
      </c>
      <c r="K131" s="1" t="s">
        <v>240</v>
      </c>
      <c r="L131" s="1" t="s">
        <v>1205</v>
      </c>
      <c r="M131" s="1" t="s">
        <v>1204</v>
      </c>
      <c r="N131" s="1">
        <v>1079.0</v>
      </c>
      <c r="O131" s="1" t="s">
        <v>2108</v>
      </c>
      <c r="P131" s="1" t="s">
        <v>4</v>
      </c>
      <c r="Q131" s="1" t="s">
        <v>990</v>
      </c>
      <c r="R131" s="1" t="s">
        <v>2085</v>
      </c>
      <c r="S131" s="1" t="s">
        <v>2085</v>
      </c>
      <c r="T131" s="1" t="s">
        <v>233</v>
      </c>
      <c r="U131" s="1" t="s">
        <v>575</v>
      </c>
      <c r="V131" s="1" t="s">
        <v>351</v>
      </c>
      <c r="W131" s="1" t="s">
        <v>252</v>
      </c>
      <c r="X131" s="1" t="s">
        <v>2086</v>
      </c>
      <c r="Y131" s="1">
        <v>182.0</v>
      </c>
      <c r="Z131" s="1" t="s">
        <v>1209</v>
      </c>
    </row>
    <row r="132" ht="15.75" customHeight="1">
      <c r="B132" s="1">
        <v>262.0</v>
      </c>
      <c r="C132" s="1" t="s">
        <v>978</v>
      </c>
      <c r="D132" s="1" t="s">
        <v>2081</v>
      </c>
      <c r="E132" s="1" t="s">
        <v>1211</v>
      </c>
      <c r="F132" s="1">
        <v>7.8842440001406E13</v>
      </c>
      <c r="G132" s="1">
        <v>2.57588175E8</v>
      </c>
      <c r="H132" s="1">
        <v>50.0</v>
      </c>
      <c r="I132" s="1">
        <v>212.0</v>
      </c>
      <c r="J132" s="1">
        <v>8.8101101E7</v>
      </c>
      <c r="K132" s="1" t="s">
        <v>240</v>
      </c>
      <c r="L132" s="1" t="s">
        <v>1205</v>
      </c>
      <c r="M132" s="1" t="s">
        <v>1213</v>
      </c>
      <c r="N132" s="1">
        <v>864.0</v>
      </c>
      <c r="O132" s="1" t="s">
        <v>2112</v>
      </c>
      <c r="P132" s="1" t="s">
        <v>988</v>
      </c>
      <c r="Q132" s="1" t="s">
        <v>1001</v>
      </c>
      <c r="R132" s="1" t="s">
        <v>2085</v>
      </c>
      <c r="S132" s="1" t="s">
        <v>2085</v>
      </c>
      <c r="T132" s="1" t="s">
        <v>233</v>
      </c>
      <c r="U132" s="1" t="s">
        <v>575</v>
      </c>
      <c r="V132" s="1" t="s">
        <v>351</v>
      </c>
      <c r="W132" s="1" t="s">
        <v>252</v>
      </c>
      <c r="X132" s="1" t="s">
        <v>2086</v>
      </c>
      <c r="Y132" s="1">
        <v>277.0</v>
      </c>
      <c r="Z132" s="1" t="s">
        <v>1221</v>
      </c>
    </row>
    <row r="133" ht="15.75" customHeight="1">
      <c r="B133" s="1">
        <v>263.0</v>
      </c>
      <c r="C133" s="1" t="s">
        <v>978</v>
      </c>
      <c r="D133" s="1" t="s">
        <v>2081</v>
      </c>
      <c r="E133" s="1" t="s">
        <v>1223</v>
      </c>
      <c r="F133" s="1">
        <v>7.8842440000507E13</v>
      </c>
      <c r="G133" s="1">
        <v>2.54463339E8</v>
      </c>
      <c r="H133" s="1">
        <v>50.0</v>
      </c>
      <c r="I133" s="1">
        <v>214.0</v>
      </c>
      <c r="J133" s="1">
        <v>8.8301001E7</v>
      </c>
      <c r="K133" s="1" t="s">
        <v>240</v>
      </c>
      <c r="L133" s="1" t="s">
        <v>1225</v>
      </c>
      <c r="M133" s="1" t="s">
        <v>39</v>
      </c>
      <c r="N133" s="1">
        <v>680.0</v>
      </c>
      <c r="O133" s="1" t="s">
        <v>2113</v>
      </c>
      <c r="P133" s="1" t="s">
        <v>988</v>
      </c>
      <c r="Q133" s="1" t="s">
        <v>990</v>
      </c>
      <c r="R133" s="1" t="s">
        <v>2085</v>
      </c>
      <c r="S133" s="1" t="s">
        <v>2085</v>
      </c>
      <c r="T133" s="1" t="s">
        <v>233</v>
      </c>
      <c r="U133" s="1" t="s">
        <v>575</v>
      </c>
      <c r="V133" s="1" t="s">
        <v>351</v>
      </c>
      <c r="W133" s="1" t="s">
        <v>252</v>
      </c>
      <c r="X133" s="1" t="s">
        <v>2086</v>
      </c>
      <c r="Y133" s="1">
        <v>323.0</v>
      </c>
      <c r="Z133" s="1" t="s">
        <v>1229</v>
      </c>
    </row>
    <row r="134" ht="15.75" customHeight="1">
      <c r="B134" s="1">
        <v>264.0</v>
      </c>
      <c r="C134" s="1" t="s">
        <v>978</v>
      </c>
      <c r="D134" s="1" t="s">
        <v>2081</v>
      </c>
      <c r="E134" s="1" t="s">
        <v>1231</v>
      </c>
      <c r="F134" s="1">
        <v>7.884244000174E13</v>
      </c>
      <c r="G134" s="1">
        <v>2.57588167E8</v>
      </c>
      <c r="H134" s="1">
        <v>50.0</v>
      </c>
      <c r="I134" s="1">
        <v>215.0</v>
      </c>
      <c r="J134" s="1">
        <v>8.8010001E7</v>
      </c>
      <c r="K134" s="1" t="s">
        <v>240</v>
      </c>
      <c r="L134" s="1" t="s">
        <v>1137</v>
      </c>
      <c r="M134" s="1" t="s">
        <v>39</v>
      </c>
      <c r="N134" s="1">
        <v>395.0</v>
      </c>
      <c r="O134" s="1" t="s">
        <v>2106</v>
      </c>
      <c r="P134" s="1" t="s">
        <v>988</v>
      </c>
      <c r="Q134" s="1" t="s">
        <v>1001</v>
      </c>
      <c r="R134" s="1" t="s">
        <v>2085</v>
      </c>
      <c r="S134" s="1" t="s">
        <v>2085</v>
      </c>
      <c r="T134" s="1" t="s">
        <v>233</v>
      </c>
      <c r="U134" s="1" t="s">
        <v>575</v>
      </c>
      <c r="V134" s="1" t="s">
        <v>351</v>
      </c>
      <c r="W134" s="1" t="s">
        <v>252</v>
      </c>
      <c r="X134" s="1" t="s">
        <v>2086</v>
      </c>
      <c r="Y134" s="1">
        <v>160.0</v>
      </c>
      <c r="Z134" s="1" t="s">
        <v>1236</v>
      </c>
    </row>
    <row r="135" ht="15.75" customHeight="1">
      <c r="B135" s="1">
        <v>265.0</v>
      </c>
      <c r="C135" s="1" t="s">
        <v>978</v>
      </c>
      <c r="D135" s="1" t="s">
        <v>2081</v>
      </c>
      <c r="E135" s="1" t="s">
        <v>1238</v>
      </c>
      <c r="F135" s="1">
        <v>7.884244000166E13</v>
      </c>
      <c r="G135" s="1">
        <v>2.57588191E8</v>
      </c>
      <c r="H135" s="1">
        <v>50.0</v>
      </c>
      <c r="I135" s="1">
        <v>216.0</v>
      </c>
      <c r="J135" s="1">
        <v>8.801002E7</v>
      </c>
      <c r="K135" s="1" t="s">
        <v>240</v>
      </c>
      <c r="L135" s="1" t="s">
        <v>1137</v>
      </c>
      <c r="M135" s="1" t="s">
        <v>39</v>
      </c>
      <c r="N135" s="1">
        <v>210.0</v>
      </c>
      <c r="O135" s="1" t="s">
        <v>2115</v>
      </c>
      <c r="P135" s="1" t="s">
        <v>988</v>
      </c>
      <c r="Q135" s="1" t="s">
        <v>990</v>
      </c>
      <c r="R135" s="1" t="s">
        <v>2085</v>
      </c>
      <c r="S135" s="1" t="s">
        <v>2085</v>
      </c>
      <c r="T135" s="1" t="s">
        <v>233</v>
      </c>
      <c r="U135" s="1" t="s">
        <v>575</v>
      </c>
      <c r="V135" s="1" t="s">
        <v>351</v>
      </c>
      <c r="W135" s="1" t="s">
        <v>252</v>
      </c>
      <c r="X135" s="1" t="s">
        <v>2086</v>
      </c>
      <c r="Y135" s="1">
        <v>120.0</v>
      </c>
      <c r="Z135" s="1" t="s">
        <v>1244</v>
      </c>
    </row>
    <row r="136" ht="15.75" customHeight="1">
      <c r="B136" s="1">
        <v>266.0</v>
      </c>
      <c r="C136" s="1" t="s">
        <v>978</v>
      </c>
      <c r="D136" s="1" t="s">
        <v>2081</v>
      </c>
      <c r="E136" s="1" t="s">
        <v>1248</v>
      </c>
      <c r="F136" s="1">
        <v>7.8842440001589E13</v>
      </c>
      <c r="G136" s="1">
        <v>2.57588221E8</v>
      </c>
      <c r="H136" s="1">
        <v>50.0</v>
      </c>
      <c r="I136" s="1">
        <v>217.0</v>
      </c>
      <c r="J136" s="1">
        <v>8.81179E7</v>
      </c>
      <c r="K136" s="1" t="s">
        <v>240</v>
      </c>
      <c r="L136" s="1" t="s">
        <v>1205</v>
      </c>
      <c r="M136" s="1" t="s">
        <v>1204</v>
      </c>
      <c r="N136" s="1">
        <v>1079.0</v>
      </c>
      <c r="O136" s="1" t="s">
        <v>2108</v>
      </c>
      <c r="P136" s="1" t="s">
        <v>4</v>
      </c>
      <c r="Q136" s="1" t="s">
        <v>990</v>
      </c>
      <c r="R136" s="1" t="s">
        <v>2085</v>
      </c>
      <c r="S136" s="1" t="s">
        <v>2085</v>
      </c>
      <c r="T136" s="1" t="s">
        <v>233</v>
      </c>
      <c r="U136" s="1" t="s">
        <v>575</v>
      </c>
      <c r="V136" s="1" t="s">
        <v>351</v>
      </c>
      <c r="W136" s="1" t="s">
        <v>252</v>
      </c>
      <c r="X136" s="1" t="s">
        <v>2086</v>
      </c>
      <c r="Y136" s="1">
        <v>250.0</v>
      </c>
      <c r="Z136" s="1" t="s">
        <v>1256</v>
      </c>
    </row>
    <row r="137" ht="15.75" customHeight="1">
      <c r="B137" s="1">
        <v>267.0</v>
      </c>
      <c r="C137" s="1" t="s">
        <v>978</v>
      </c>
      <c r="D137" s="1" t="s">
        <v>2081</v>
      </c>
      <c r="E137" s="1" t="s">
        <v>1258</v>
      </c>
      <c r="F137" s="1">
        <v>7.8842440000698E13</v>
      </c>
      <c r="G137" s="1">
        <v>2.55316666E8</v>
      </c>
      <c r="H137" s="1">
        <v>50.0</v>
      </c>
      <c r="I137" s="1">
        <v>218.0</v>
      </c>
      <c r="J137" s="1">
        <v>8.8035E7</v>
      </c>
      <c r="K137" s="1" t="s">
        <v>240</v>
      </c>
      <c r="L137" s="1" t="s">
        <v>1137</v>
      </c>
      <c r="M137" s="1" t="s">
        <v>1260</v>
      </c>
      <c r="N137" s="1">
        <v>687.0</v>
      </c>
      <c r="O137" s="1" t="s">
        <v>2117</v>
      </c>
      <c r="P137" s="1" t="s">
        <v>4</v>
      </c>
      <c r="Q137" s="1" t="s">
        <v>990</v>
      </c>
      <c r="R137" s="1" t="s">
        <v>2085</v>
      </c>
      <c r="S137" s="1" t="s">
        <v>2085</v>
      </c>
      <c r="T137" s="1" t="s">
        <v>233</v>
      </c>
      <c r="U137" s="1" t="s">
        <v>575</v>
      </c>
      <c r="V137" s="1" t="s">
        <v>351</v>
      </c>
      <c r="W137" s="1" t="s">
        <v>252</v>
      </c>
      <c r="X137" s="1" t="s">
        <v>2086</v>
      </c>
      <c r="Y137" s="1">
        <v>226.0</v>
      </c>
      <c r="Z137" s="1" t="s">
        <v>1266</v>
      </c>
    </row>
    <row r="138" ht="15.75" customHeight="1">
      <c r="B138" s="1">
        <v>268.0</v>
      </c>
      <c r="C138" s="1" t="s">
        <v>978</v>
      </c>
      <c r="D138" s="1" t="s">
        <v>2081</v>
      </c>
      <c r="E138" s="1" t="s">
        <v>1269</v>
      </c>
      <c r="F138" s="1">
        <v>7.8842440000779E13</v>
      </c>
      <c r="G138" s="1">
        <v>2.55687176E8</v>
      </c>
      <c r="H138" s="1">
        <v>50.0</v>
      </c>
      <c r="I138" s="1">
        <v>219.0</v>
      </c>
      <c r="J138" s="1">
        <v>8.801E7</v>
      </c>
      <c r="K138" s="1" t="s">
        <v>240</v>
      </c>
      <c r="L138" s="1" t="s">
        <v>1137</v>
      </c>
      <c r="M138" s="1" t="s">
        <v>39</v>
      </c>
      <c r="N138" s="1">
        <v>107.0</v>
      </c>
      <c r="O138" s="1" t="s">
        <v>2106</v>
      </c>
      <c r="P138" s="1" t="s">
        <v>988</v>
      </c>
      <c r="Q138" s="1" t="s">
        <v>1001</v>
      </c>
      <c r="R138" s="1" t="s">
        <v>2085</v>
      </c>
      <c r="S138" s="1" t="s">
        <v>2085</v>
      </c>
      <c r="T138" s="1" t="s">
        <v>233</v>
      </c>
      <c r="U138" s="1" t="s">
        <v>575</v>
      </c>
      <c r="V138" s="1" t="s">
        <v>351</v>
      </c>
      <c r="W138" s="1" t="s">
        <v>252</v>
      </c>
      <c r="X138" s="1" t="s">
        <v>2086</v>
      </c>
      <c r="Y138" s="1">
        <v>136.0</v>
      </c>
      <c r="Z138" s="1" t="s">
        <v>1275</v>
      </c>
    </row>
    <row r="139" ht="15.75" customHeight="1">
      <c r="B139" s="1">
        <v>269.0</v>
      </c>
      <c r="C139" s="1" t="s">
        <v>978</v>
      </c>
      <c r="D139" s="1" t="s">
        <v>2081</v>
      </c>
      <c r="E139" s="1" t="s">
        <v>1277</v>
      </c>
      <c r="F139" s="1">
        <v>7.8842440001155E13</v>
      </c>
      <c r="G139" s="1">
        <v>2.562488E8</v>
      </c>
      <c r="H139" s="1">
        <v>50.0</v>
      </c>
      <c r="I139" s="1">
        <v>221.0</v>
      </c>
      <c r="J139" s="1">
        <v>8.801002E7</v>
      </c>
      <c r="K139" s="1" t="s">
        <v>240</v>
      </c>
      <c r="L139" s="1" t="s">
        <v>1137</v>
      </c>
      <c r="M139" s="1" t="s">
        <v>39</v>
      </c>
      <c r="N139" s="1">
        <v>170.0</v>
      </c>
      <c r="O139" s="1" t="s">
        <v>2115</v>
      </c>
      <c r="P139" s="1" t="s">
        <v>988</v>
      </c>
      <c r="Q139" s="1" t="s">
        <v>1001</v>
      </c>
      <c r="R139" s="1" t="s">
        <v>2085</v>
      </c>
      <c r="S139" s="1" t="s">
        <v>2085</v>
      </c>
      <c r="T139" s="1" t="s">
        <v>233</v>
      </c>
      <c r="U139" s="1" t="s">
        <v>575</v>
      </c>
      <c r="V139" s="1" t="s">
        <v>351</v>
      </c>
      <c r="W139" s="1" t="s">
        <v>252</v>
      </c>
      <c r="X139" s="1" t="s">
        <v>2086</v>
      </c>
      <c r="Y139" s="1">
        <v>103.0</v>
      </c>
      <c r="Z139" s="1" t="s">
        <v>1284</v>
      </c>
    </row>
    <row r="140" ht="15.75" customHeight="1">
      <c r="B140" s="1">
        <v>270.0</v>
      </c>
      <c r="C140" s="1" t="s">
        <v>978</v>
      </c>
      <c r="D140" s="1" t="s">
        <v>2081</v>
      </c>
      <c r="E140" s="1" t="s">
        <v>1288</v>
      </c>
      <c r="F140" s="1">
        <v>7.8842440001074E13</v>
      </c>
      <c r="G140" s="1">
        <v>2.56248818E8</v>
      </c>
      <c r="H140" s="1">
        <v>50.0</v>
      </c>
      <c r="I140" s="1">
        <v>223.0</v>
      </c>
      <c r="J140" s="1">
        <v>8.81179E7</v>
      </c>
      <c r="K140" s="1" t="s">
        <v>240</v>
      </c>
      <c r="L140" s="1" t="s">
        <v>1205</v>
      </c>
      <c r="M140" s="1" t="s">
        <v>1204</v>
      </c>
      <c r="N140" s="1">
        <v>1079.0</v>
      </c>
      <c r="O140" s="1" t="s">
        <v>2108</v>
      </c>
      <c r="P140" s="1" t="s">
        <v>4</v>
      </c>
      <c r="Q140" s="1" t="s">
        <v>990</v>
      </c>
      <c r="R140" s="1" t="s">
        <v>2085</v>
      </c>
      <c r="S140" s="1" t="s">
        <v>2085</v>
      </c>
      <c r="T140" s="1" t="s">
        <v>233</v>
      </c>
      <c r="U140" s="1" t="s">
        <v>575</v>
      </c>
      <c r="V140" s="1" t="s">
        <v>351</v>
      </c>
      <c r="W140" s="1" t="s">
        <v>252</v>
      </c>
      <c r="X140" s="1" t="s">
        <v>2086</v>
      </c>
      <c r="Y140" s="1">
        <v>241.0</v>
      </c>
      <c r="Z140" s="1" t="s">
        <v>1295</v>
      </c>
    </row>
    <row r="141" ht="15.75" customHeight="1">
      <c r="B141" s="1">
        <v>271.0</v>
      </c>
      <c r="C141" s="1" t="s">
        <v>978</v>
      </c>
      <c r="D141" s="1" t="s">
        <v>2081</v>
      </c>
      <c r="E141" s="1" t="s">
        <v>1297</v>
      </c>
      <c r="F141" s="1">
        <v>7.8842440001236E13</v>
      </c>
      <c r="G141" s="1">
        <v>2.56325235E8</v>
      </c>
      <c r="H141" s="1">
        <v>50.0</v>
      </c>
      <c r="I141" s="1">
        <v>224.0</v>
      </c>
      <c r="J141" s="1">
        <v>8.801006E7</v>
      </c>
      <c r="K141" s="1" t="s">
        <v>240</v>
      </c>
      <c r="L141" s="1" t="s">
        <v>1137</v>
      </c>
      <c r="M141" s="1" t="s">
        <v>39</v>
      </c>
      <c r="N141" s="1">
        <v>113.0</v>
      </c>
      <c r="O141" s="1" t="s">
        <v>258</v>
      </c>
      <c r="P141" s="1" t="s">
        <v>988</v>
      </c>
      <c r="Q141" s="1" t="s">
        <v>1001</v>
      </c>
      <c r="R141" s="1" t="s">
        <v>2085</v>
      </c>
      <c r="S141" s="1" t="s">
        <v>2085</v>
      </c>
      <c r="T141" s="1" t="s">
        <v>233</v>
      </c>
      <c r="U141" s="1" t="s">
        <v>575</v>
      </c>
      <c r="V141" s="1" t="s">
        <v>351</v>
      </c>
      <c r="W141" s="1" t="s">
        <v>252</v>
      </c>
      <c r="X141" s="1" t="s">
        <v>2086</v>
      </c>
      <c r="Y141" s="1">
        <v>171.0</v>
      </c>
      <c r="Z141" s="1" t="s">
        <v>1304</v>
      </c>
    </row>
    <row r="142" ht="15.75" customHeight="1">
      <c r="B142" s="1">
        <v>272.0</v>
      </c>
      <c r="C142" s="1" t="s">
        <v>978</v>
      </c>
      <c r="D142" s="1" t="s">
        <v>2081</v>
      </c>
      <c r="E142" s="1" t="s">
        <v>1307</v>
      </c>
      <c r="F142" s="1">
        <v>7.8842440001317E13</v>
      </c>
      <c r="G142" s="1">
        <v>2.56325146E8</v>
      </c>
      <c r="H142" s="1">
        <v>50.0</v>
      </c>
      <c r="I142" s="1">
        <v>225.0</v>
      </c>
      <c r="J142" s="1">
        <v>8.813022E7</v>
      </c>
      <c r="K142" s="1" t="s">
        <v>240</v>
      </c>
      <c r="L142" s="1" t="s">
        <v>1310</v>
      </c>
      <c r="M142" s="1" t="s">
        <v>39</v>
      </c>
      <c r="N142" s="1">
        <v>69.0</v>
      </c>
      <c r="O142" s="1" t="s">
        <v>2124</v>
      </c>
      <c r="P142" s="1" t="s">
        <v>988</v>
      </c>
      <c r="Q142" s="1" t="s">
        <v>990</v>
      </c>
      <c r="R142" s="1" t="s">
        <v>2085</v>
      </c>
      <c r="S142" s="1" t="s">
        <v>2085</v>
      </c>
      <c r="T142" s="1" t="s">
        <v>233</v>
      </c>
      <c r="U142" s="1" t="s">
        <v>575</v>
      </c>
      <c r="V142" s="1" t="s">
        <v>351</v>
      </c>
      <c r="W142" s="1" t="s">
        <v>252</v>
      </c>
      <c r="X142" s="1" t="s">
        <v>2086</v>
      </c>
      <c r="Y142" s="1">
        <v>399.0</v>
      </c>
      <c r="Z142" s="1" t="s">
        <v>1314</v>
      </c>
    </row>
    <row r="143" ht="15.75" customHeight="1">
      <c r="B143" s="1">
        <v>273.0</v>
      </c>
      <c r="C143" s="1" t="s">
        <v>978</v>
      </c>
      <c r="D143" s="1" t="s">
        <v>2081</v>
      </c>
      <c r="E143" s="1" t="s">
        <v>1316</v>
      </c>
      <c r="F143" s="1">
        <v>7.8842440001821E13</v>
      </c>
      <c r="G143" s="1">
        <v>2.58174773E8</v>
      </c>
      <c r="H143" s="1">
        <v>50.0</v>
      </c>
      <c r="I143" s="1">
        <v>226.0</v>
      </c>
      <c r="J143" s="1">
        <v>8.81048E7</v>
      </c>
      <c r="K143" s="1" t="s">
        <v>240</v>
      </c>
      <c r="L143" s="1" t="s">
        <v>1205</v>
      </c>
      <c r="M143" s="1" t="s">
        <v>1319</v>
      </c>
      <c r="N143" s="1">
        <v>0.0</v>
      </c>
      <c r="O143" s="1" t="s">
        <v>2128</v>
      </c>
      <c r="P143" s="1" t="s">
        <v>4</v>
      </c>
      <c r="Q143" s="1" t="s">
        <v>990</v>
      </c>
      <c r="R143" s="1" t="s">
        <v>2085</v>
      </c>
      <c r="S143" s="1" t="s">
        <v>2085</v>
      </c>
      <c r="T143" s="1" t="s">
        <v>233</v>
      </c>
      <c r="U143" s="1" t="s">
        <v>575</v>
      </c>
      <c r="V143" s="1" t="s">
        <v>351</v>
      </c>
      <c r="W143" s="1" t="s">
        <v>252</v>
      </c>
      <c r="X143" s="1" t="s">
        <v>2086</v>
      </c>
      <c r="Y143" s="1">
        <v>250.0</v>
      </c>
      <c r="Z143" s="1" t="s">
        <v>1323</v>
      </c>
    </row>
    <row r="144" ht="15.75" customHeight="1">
      <c r="B144" s="1">
        <v>274.0</v>
      </c>
      <c r="C144" s="1" t="s">
        <v>978</v>
      </c>
      <c r="D144" s="1" t="s">
        <v>2081</v>
      </c>
      <c r="E144" s="1" t="s">
        <v>1325</v>
      </c>
      <c r="F144" s="1">
        <v>7.8842440002208E13</v>
      </c>
      <c r="G144" s="1">
        <v>2.61582941E8</v>
      </c>
      <c r="H144" s="1">
        <v>50.0</v>
      </c>
      <c r="I144" s="1">
        <v>227.0</v>
      </c>
      <c r="J144" s="1">
        <v>8.816013E7</v>
      </c>
      <c r="K144" s="1" t="s">
        <v>240</v>
      </c>
      <c r="L144" s="1" t="s">
        <v>1329</v>
      </c>
      <c r="M144" s="1" t="s">
        <v>39</v>
      </c>
      <c r="N144" s="1">
        <v>25.0</v>
      </c>
      <c r="O144" s="1" t="s">
        <v>2129</v>
      </c>
      <c r="P144" s="1" t="s">
        <v>988</v>
      </c>
      <c r="Q144" s="1" t="s">
        <v>990</v>
      </c>
      <c r="R144" s="1" t="s">
        <v>2085</v>
      </c>
      <c r="S144" s="1" t="s">
        <v>2085</v>
      </c>
      <c r="T144" s="1" t="s">
        <v>233</v>
      </c>
      <c r="U144" s="1" t="s">
        <v>575</v>
      </c>
      <c r="V144" s="1" t="s">
        <v>351</v>
      </c>
      <c r="W144" s="1" t="s">
        <v>252</v>
      </c>
      <c r="X144" s="1" t="s">
        <v>2086</v>
      </c>
      <c r="Y144" s="1">
        <v>250.0</v>
      </c>
      <c r="Z144" s="1" t="s">
        <v>1333</v>
      </c>
    </row>
    <row r="145" ht="15.75" customHeight="1">
      <c r="B145" s="1">
        <v>275.0</v>
      </c>
      <c r="C145" s="1" t="s">
        <v>978</v>
      </c>
      <c r="D145" s="1" t="s">
        <v>2081</v>
      </c>
      <c r="E145" s="1" t="s">
        <v>1335</v>
      </c>
      <c r="F145" s="1">
        <v>7.8842440001902E13</v>
      </c>
      <c r="G145" s="1">
        <v>2.61393332E8</v>
      </c>
      <c r="H145" s="1">
        <v>50.0</v>
      </c>
      <c r="I145" s="1">
        <v>228.0</v>
      </c>
      <c r="J145" s="1">
        <v>8.8106501E7</v>
      </c>
      <c r="K145" s="1" t="s">
        <v>240</v>
      </c>
      <c r="L145" s="1" t="s">
        <v>1205</v>
      </c>
      <c r="M145" s="1" t="s">
        <v>1338</v>
      </c>
      <c r="N145" s="1">
        <v>1170.0</v>
      </c>
      <c r="O145" s="1" t="s">
        <v>2133</v>
      </c>
      <c r="P145" s="1" t="s">
        <v>988</v>
      </c>
      <c r="Q145" s="1" t="s">
        <v>1001</v>
      </c>
      <c r="R145" s="1" t="s">
        <v>2085</v>
      </c>
      <c r="S145" s="1" t="s">
        <v>2085</v>
      </c>
      <c r="T145" s="1" t="s">
        <v>233</v>
      </c>
      <c r="U145" s="1" t="s">
        <v>575</v>
      </c>
      <c r="V145" s="1" t="s">
        <v>351</v>
      </c>
      <c r="W145" s="1" t="s">
        <v>252</v>
      </c>
      <c r="X145" s="1" t="s">
        <v>2086</v>
      </c>
      <c r="Y145" s="1">
        <v>230.0</v>
      </c>
      <c r="Z145" s="1" t="s">
        <v>1342</v>
      </c>
    </row>
    <row r="146" ht="15.75" customHeight="1">
      <c r="B146" s="1">
        <v>385.0</v>
      </c>
      <c r="C146" s="1" t="s">
        <v>978</v>
      </c>
      <c r="D146" s="1" t="s">
        <v>2081</v>
      </c>
      <c r="E146" s="1" t="s">
        <v>2134</v>
      </c>
      <c r="F146" s="1">
        <v>7.8842440002127E13</v>
      </c>
      <c r="G146" s="1">
        <v>2.61494112E8</v>
      </c>
      <c r="H146" s="1">
        <v>50.0</v>
      </c>
      <c r="I146" s="1">
        <v>229.0</v>
      </c>
      <c r="J146" s="1">
        <v>8.8058001E7</v>
      </c>
      <c r="K146" s="1" t="s">
        <v>240</v>
      </c>
      <c r="L146" s="1" t="s">
        <v>2135</v>
      </c>
      <c r="M146" s="1" t="s">
        <v>2097</v>
      </c>
      <c r="N146" s="1">
        <v>5640.0</v>
      </c>
      <c r="O146" s="1" t="s">
        <v>1346</v>
      </c>
      <c r="P146" s="1" t="s">
        <v>988</v>
      </c>
      <c r="Q146" s="1" t="s">
        <v>1001</v>
      </c>
      <c r="R146" s="1" t="s">
        <v>2085</v>
      </c>
      <c r="S146" s="1" t="s">
        <v>2085</v>
      </c>
      <c r="T146" s="1" t="s">
        <v>233</v>
      </c>
      <c r="U146" s="1" t="s">
        <v>575</v>
      </c>
      <c r="V146" s="1" t="s">
        <v>351</v>
      </c>
      <c r="W146" s="1" t="s">
        <v>857</v>
      </c>
      <c r="X146" s="1" t="s">
        <v>2086</v>
      </c>
      <c r="Z146" s="1" t="s">
        <v>2137</v>
      </c>
    </row>
    <row r="147" ht="15.75" customHeight="1">
      <c r="B147" s="1">
        <v>378.0</v>
      </c>
      <c r="C147" s="1" t="s">
        <v>978</v>
      </c>
      <c r="D147" s="1" t="s">
        <v>2081</v>
      </c>
      <c r="E147" s="1" t="s">
        <v>2139</v>
      </c>
      <c r="F147" s="1">
        <v>7.884244000247E13</v>
      </c>
      <c r="G147" s="1">
        <v>1.320183244E9</v>
      </c>
      <c r="H147" s="1">
        <v>50.0</v>
      </c>
      <c r="I147" s="1">
        <v>296.0</v>
      </c>
      <c r="J147" s="1">
        <v>9.321211E7</v>
      </c>
      <c r="K147" s="1" t="s">
        <v>226</v>
      </c>
      <c r="L147" s="1" t="s">
        <v>2141</v>
      </c>
      <c r="M147" s="1" t="s">
        <v>2142</v>
      </c>
      <c r="N147" s="1">
        <v>1771.0</v>
      </c>
      <c r="O147" s="1" t="s">
        <v>2143</v>
      </c>
      <c r="R147" s="1" t="s">
        <v>2085</v>
      </c>
      <c r="S147" s="1" t="s">
        <v>2085</v>
      </c>
      <c r="T147" s="1" t="s">
        <v>233</v>
      </c>
      <c r="W147" s="1" t="s">
        <v>252</v>
      </c>
      <c r="X147" s="1" t="s">
        <v>2086</v>
      </c>
    </row>
    <row r="148" ht="15.75" customHeight="1">
      <c r="B148" s="1">
        <v>276.0</v>
      </c>
      <c r="C148" s="1" t="s">
        <v>978</v>
      </c>
      <c r="D148" s="1" t="s">
        <v>2081</v>
      </c>
      <c r="E148" s="1" t="s">
        <v>2144</v>
      </c>
      <c r="F148" s="1">
        <v>7.884244000085E13</v>
      </c>
      <c r="G148" s="1">
        <v>2.55977077E8</v>
      </c>
      <c r="H148" s="1">
        <v>50.0</v>
      </c>
      <c r="I148" s="1">
        <v>297.0</v>
      </c>
      <c r="J148" s="1">
        <v>8.81108E7</v>
      </c>
      <c r="K148" s="1" t="s">
        <v>240</v>
      </c>
      <c r="L148" s="1" t="s">
        <v>1205</v>
      </c>
      <c r="M148" s="1" t="s">
        <v>2090</v>
      </c>
      <c r="N148" s="1">
        <v>350.0</v>
      </c>
      <c r="O148" s="1" t="s">
        <v>2091</v>
      </c>
      <c r="R148" s="1" t="s">
        <v>2085</v>
      </c>
      <c r="S148" s="1" t="s">
        <v>2085</v>
      </c>
      <c r="T148" s="1" t="s">
        <v>233</v>
      </c>
      <c r="W148" s="1" t="s">
        <v>252</v>
      </c>
      <c r="X148" s="1" t="s">
        <v>2086</v>
      </c>
    </row>
    <row r="149" ht="15.75" customHeight="1">
      <c r="B149" s="1">
        <v>279.0</v>
      </c>
      <c r="C149" s="1" t="s">
        <v>978</v>
      </c>
      <c r="D149" s="1" t="s">
        <v>2081</v>
      </c>
      <c r="E149" s="1" t="s">
        <v>2146</v>
      </c>
      <c r="F149" s="1">
        <v>6.1014746000149E13</v>
      </c>
      <c r="G149" s="1">
        <v>2.55977077E8</v>
      </c>
      <c r="H149" s="1">
        <v>21.0</v>
      </c>
      <c r="I149" s="1">
        <v>298.0</v>
      </c>
      <c r="J149" s="1">
        <v>8.81108E7</v>
      </c>
      <c r="K149" s="1" t="s">
        <v>240</v>
      </c>
      <c r="L149" s="1" t="s">
        <v>1205</v>
      </c>
      <c r="M149" s="1" t="s">
        <v>2090</v>
      </c>
      <c r="N149" s="1">
        <v>350.0</v>
      </c>
      <c r="O149" s="1" t="s">
        <v>2091</v>
      </c>
      <c r="R149" s="1" t="s">
        <v>1880</v>
      </c>
      <c r="S149" s="1" t="s">
        <v>1880</v>
      </c>
      <c r="T149" s="1" t="s">
        <v>233</v>
      </c>
      <c r="W149" s="1" t="s">
        <v>252</v>
      </c>
      <c r="X149" s="1" t="s">
        <v>1116</v>
      </c>
    </row>
    <row r="150" ht="15.75" customHeight="1">
      <c r="B150" s="1">
        <v>77.0</v>
      </c>
      <c r="C150" s="1" t="s">
        <v>978</v>
      </c>
      <c r="D150" s="1" t="s">
        <v>2149</v>
      </c>
      <c r="E150" s="1" t="s">
        <v>2149</v>
      </c>
      <c r="F150" s="1">
        <v>3.3840486000125E13</v>
      </c>
      <c r="G150" s="1">
        <v>4.54159944711E11</v>
      </c>
      <c r="H150" s="1">
        <v>21.0</v>
      </c>
      <c r="I150" s="1">
        <v>299.0</v>
      </c>
      <c r="J150" s="1">
        <v>1.221E7</v>
      </c>
      <c r="K150" s="1" t="s">
        <v>41</v>
      </c>
      <c r="L150" s="1" t="s">
        <v>271</v>
      </c>
      <c r="M150" s="1" t="s">
        <v>2150</v>
      </c>
      <c r="N150" s="1">
        <v>1.0</v>
      </c>
      <c r="O150" s="1" t="s">
        <v>2151</v>
      </c>
      <c r="R150" s="1" t="s">
        <v>1880</v>
      </c>
      <c r="S150" s="1" t="s">
        <v>1880</v>
      </c>
      <c r="T150" s="1" t="s">
        <v>124</v>
      </c>
      <c r="W150" s="1" t="s">
        <v>252</v>
      </c>
      <c r="X150" s="1" t="s">
        <v>1116</v>
      </c>
    </row>
    <row r="151" ht="15.75" customHeight="1">
      <c r="B151" s="1">
        <v>300.0</v>
      </c>
      <c r="C151" s="1" t="s">
        <v>978</v>
      </c>
      <c r="D151" s="1" t="s">
        <v>2152</v>
      </c>
      <c r="E151" s="1" t="s">
        <v>2154</v>
      </c>
      <c r="F151" s="1">
        <v>4.9961545000153E13</v>
      </c>
      <c r="G151" s="1">
        <v>9.63990179E8</v>
      </c>
      <c r="H151" s="1">
        <v>52.0</v>
      </c>
      <c r="I151" s="1">
        <v>300.0</v>
      </c>
      <c r="J151" s="1">
        <v>9.0020008E7</v>
      </c>
      <c r="K151" s="1" t="s">
        <v>226</v>
      </c>
      <c r="L151" s="1" t="s">
        <v>2155</v>
      </c>
      <c r="M151" s="1" t="s">
        <v>2156</v>
      </c>
      <c r="N151" s="1">
        <v>1342.0</v>
      </c>
      <c r="O151" s="1" t="s">
        <v>2157</v>
      </c>
      <c r="R151" s="1" t="s">
        <v>2158</v>
      </c>
      <c r="S151" s="1" t="s">
        <v>2158</v>
      </c>
      <c r="T151" s="1" t="s">
        <v>249</v>
      </c>
      <c r="U151" s="1" t="s">
        <v>575</v>
      </c>
      <c r="V151" s="1" t="s">
        <v>460</v>
      </c>
      <c r="W151" s="1" t="s">
        <v>252</v>
      </c>
      <c r="X151" s="1" t="s">
        <v>2160</v>
      </c>
      <c r="Y151" s="1">
        <v>1.0</v>
      </c>
    </row>
    <row r="152" ht="15.75" customHeight="1">
      <c r="B152" s="1">
        <v>355.0</v>
      </c>
      <c r="C152" s="1" t="s">
        <v>978</v>
      </c>
      <c r="D152" s="1" t="s">
        <v>2152</v>
      </c>
      <c r="E152" s="1" t="s">
        <v>2162</v>
      </c>
      <c r="F152" s="1">
        <v>4.9961545005546E13</v>
      </c>
      <c r="G152" s="1">
        <v>1.320178453E9</v>
      </c>
      <c r="H152" s="1">
        <v>52.0</v>
      </c>
      <c r="I152" s="1">
        <v>301.0</v>
      </c>
      <c r="J152" s="1">
        <v>9.321211E7</v>
      </c>
      <c r="K152" s="1" t="s">
        <v>226</v>
      </c>
      <c r="L152" s="1" t="s">
        <v>2141</v>
      </c>
      <c r="M152" s="1" t="s">
        <v>2142</v>
      </c>
      <c r="N152" s="1">
        <v>1771.0</v>
      </c>
      <c r="O152" s="1" t="s">
        <v>2143</v>
      </c>
      <c r="R152" s="1" t="s">
        <v>2158</v>
      </c>
      <c r="S152" s="1" t="s">
        <v>2158</v>
      </c>
      <c r="T152" s="1" t="s">
        <v>249</v>
      </c>
      <c r="U152" s="1" t="s">
        <v>575</v>
      </c>
      <c r="V152" s="1" t="s">
        <v>400</v>
      </c>
      <c r="W152" s="1" t="s">
        <v>857</v>
      </c>
      <c r="X152" s="1" t="s">
        <v>2160</v>
      </c>
      <c r="Y152" s="1">
        <v>1.0</v>
      </c>
    </row>
    <row r="153" ht="15.75" customHeight="1">
      <c r="B153" s="1">
        <v>291.0</v>
      </c>
      <c r="C153" s="1" t="s">
        <v>978</v>
      </c>
      <c r="D153" s="1" t="s">
        <v>2152</v>
      </c>
      <c r="E153" s="1" t="s">
        <v>2163</v>
      </c>
      <c r="F153" s="1">
        <v>4.996154500333E13</v>
      </c>
      <c r="G153" s="1">
        <v>9.63959573E8</v>
      </c>
      <c r="H153" s="1">
        <v>52.0</v>
      </c>
      <c r="I153" s="1">
        <v>302.0</v>
      </c>
      <c r="J153" s="1">
        <v>9.0030001E7</v>
      </c>
      <c r="K153" s="1" t="s">
        <v>226</v>
      </c>
      <c r="L153" s="1" t="s">
        <v>2155</v>
      </c>
      <c r="M153" s="1" t="s">
        <v>2156</v>
      </c>
      <c r="N153" s="1">
        <v>316.0</v>
      </c>
      <c r="O153" s="1" t="s">
        <v>2165</v>
      </c>
      <c r="P153" s="1" t="s">
        <v>988</v>
      </c>
      <c r="Q153" s="1" t="s">
        <v>990</v>
      </c>
      <c r="R153" s="1" t="s">
        <v>2158</v>
      </c>
      <c r="S153" s="1" t="s">
        <v>2158</v>
      </c>
      <c r="T153" s="1" t="s">
        <v>249</v>
      </c>
      <c r="U153" s="1" t="s">
        <v>575</v>
      </c>
      <c r="V153" s="1" t="s">
        <v>375</v>
      </c>
      <c r="W153" s="1" t="s">
        <v>252</v>
      </c>
      <c r="X153" s="1" t="s">
        <v>2160</v>
      </c>
      <c r="Y153" s="1">
        <v>253.0</v>
      </c>
      <c r="Z153" s="1" t="s">
        <v>1366</v>
      </c>
    </row>
    <row r="154" ht="15.75" customHeight="1">
      <c r="B154" s="1">
        <v>356.0</v>
      </c>
      <c r="C154" s="1" t="s">
        <v>978</v>
      </c>
      <c r="D154" s="1" t="s">
        <v>2152</v>
      </c>
      <c r="E154" s="1" t="s">
        <v>2166</v>
      </c>
      <c r="F154" s="1">
        <v>4.8642855000142E13</v>
      </c>
      <c r="G154" s="1">
        <v>0.0</v>
      </c>
      <c r="H154" s="1">
        <v>52.0</v>
      </c>
      <c r="I154" s="1">
        <v>303.0</v>
      </c>
      <c r="J154" s="1">
        <v>9.242036E7</v>
      </c>
      <c r="K154" s="1" t="s">
        <v>226</v>
      </c>
      <c r="L154" s="1" t="s">
        <v>1534</v>
      </c>
      <c r="M154" s="1" t="s">
        <v>2169</v>
      </c>
      <c r="N154" s="1">
        <v>2601.0</v>
      </c>
      <c r="O154" s="1" t="s">
        <v>2170</v>
      </c>
      <c r="R154" s="1" t="s">
        <v>2158</v>
      </c>
      <c r="S154" s="1" t="s">
        <v>2158</v>
      </c>
      <c r="T154" s="1" t="s">
        <v>249</v>
      </c>
      <c r="U154" s="1" t="s">
        <v>575</v>
      </c>
      <c r="V154" s="1" t="s">
        <v>400</v>
      </c>
      <c r="W154" s="1" t="s">
        <v>857</v>
      </c>
      <c r="X154" s="1" t="s">
        <v>2160</v>
      </c>
      <c r="Y154" s="1">
        <v>1.0</v>
      </c>
    </row>
    <row r="155" ht="15.75" customHeight="1">
      <c r="B155" s="1">
        <v>292.0</v>
      </c>
      <c r="C155" s="1" t="s">
        <v>978</v>
      </c>
      <c r="D155" s="1" t="s">
        <v>2152</v>
      </c>
      <c r="E155" s="1" t="s">
        <v>2171</v>
      </c>
      <c r="F155" s="1">
        <v>4.9961545003683E13</v>
      </c>
      <c r="G155" s="1">
        <v>2.40568184E8</v>
      </c>
      <c r="H155" s="1">
        <v>52.0</v>
      </c>
      <c r="I155" s="1">
        <v>306.0</v>
      </c>
      <c r="J155" s="1">
        <v>9.2020475E7</v>
      </c>
      <c r="K155" s="1" t="s">
        <v>226</v>
      </c>
      <c r="L155" s="1" t="s">
        <v>1534</v>
      </c>
      <c r="M155" s="1" t="s">
        <v>1533</v>
      </c>
      <c r="N155" s="1">
        <v>4545.0</v>
      </c>
      <c r="O155" s="1" t="s">
        <v>2172</v>
      </c>
      <c r="P155" s="1" t="s">
        <v>4</v>
      </c>
      <c r="Q155" s="1" t="s">
        <v>1001</v>
      </c>
      <c r="R155" s="1" t="s">
        <v>2158</v>
      </c>
      <c r="S155" s="1" t="s">
        <v>2158</v>
      </c>
      <c r="T155" s="1" t="s">
        <v>249</v>
      </c>
      <c r="U155" s="1" t="s">
        <v>575</v>
      </c>
      <c r="V155" s="1" t="s">
        <v>375</v>
      </c>
      <c r="W155" s="1" t="s">
        <v>252</v>
      </c>
      <c r="X155" s="1" t="s">
        <v>2160</v>
      </c>
      <c r="Y155" s="1">
        <v>149.0</v>
      </c>
      <c r="Z155" s="1" t="s">
        <v>1377</v>
      </c>
    </row>
    <row r="156" ht="15.75" customHeight="1">
      <c r="B156" s="1">
        <v>345.0</v>
      </c>
      <c r="C156" s="1" t="s">
        <v>978</v>
      </c>
      <c r="D156" s="1" t="s">
        <v>2152</v>
      </c>
      <c r="E156" s="1" t="s">
        <v>2173</v>
      </c>
      <c r="F156" s="1">
        <v>4.9961545003764E13</v>
      </c>
      <c r="G156" s="1">
        <v>9.63959646E8</v>
      </c>
      <c r="H156" s="1">
        <v>52.0</v>
      </c>
      <c r="I156" s="1">
        <v>316.0</v>
      </c>
      <c r="J156" s="1">
        <v>9.13499E7</v>
      </c>
      <c r="K156" s="1" t="s">
        <v>226</v>
      </c>
      <c r="L156" s="1" t="s">
        <v>2155</v>
      </c>
      <c r="M156" s="1" t="s">
        <v>2174</v>
      </c>
      <c r="N156" s="1">
        <v>1800.0</v>
      </c>
      <c r="O156" s="1" t="s">
        <v>2175</v>
      </c>
      <c r="R156" s="1" t="s">
        <v>2158</v>
      </c>
      <c r="S156" s="1" t="s">
        <v>2158</v>
      </c>
      <c r="T156" s="1" t="s">
        <v>249</v>
      </c>
      <c r="U156" s="1" t="s">
        <v>575</v>
      </c>
      <c r="V156" s="1" t="s">
        <v>400</v>
      </c>
      <c r="W156" s="1" t="s">
        <v>857</v>
      </c>
      <c r="X156" s="1" t="s">
        <v>2160</v>
      </c>
      <c r="Y156" s="1">
        <v>1.0</v>
      </c>
    </row>
    <row r="157" ht="15.75" customHeight="1">
      <c r="B157" s="1">
        <v>293.0</v>
      </c>
      <c r="C157" s="1" t="s">
        <v>978</v>
      </c>
      <c r="D157" s="1" t="s">
        <v>2152</v>
      </c>
      <c r="E157" s="1" t="s">
        <v>2177</v>
      </c>
      <c r="F157" s="1">
        <v>4.9961545000668E13</v>
      </c>
      <c r="G157" s="1">
        <v>9.63959778E8</v>
      </c>
      <c r="H157" s="1">
        <v>52.0</v>
      </c>
      <c r="I157" s="1">
        <v>317.0</v>
      </c>
      <c r="J157" s="1">
        <v>9.0410004E7</v>
      </c>
      <c r="K157" s="1" t="s">
        <v>226</v>
      </c>
      <c r="L157" s="1" t="s">
        <v>2155</v>
      </c>
      <c r="M157" s="1" t="s">
        <v>2178</v>
      </c>
      <c r="N157" s="1">
        <v>28.0</v>
      </c>
      <c r="O157" s="1" t="s">
        <v>2179</v>
      </c>
      <c r="P157" s="1" t="s">
        <v>988</v>
      </c>
      <c r="Q157" s="1" t="s">
        <v>1001</v>
      </c>
      <c r="R157" s="1" t="s">
        <v>2158</v>
      </c>
      <c r="S157" s="1" t="s">
        <v>2158</v>
      </c>
      <c r="T157" s="1" t="s">
        <v>249</v>
      </c>
      <c r="U157" s="1" t="s">
        <v>575</v>
      </c>
      <c r="V157" s="1" t="s">
        <v>375</v>
      </c>
      <c r="W157" s="1" t="s">
        <v>252</v>
      </c>
      <c r="X157" s="1" t="s">
        <v>2160</v>
      </c>
      <c r="Y157" s="1">
        <v>137.0</v>
      </c>
      <c r="Z157" s="1" t="s">
        <v>1388</v>
      </c>
    </row>
    <row r="158" ht="15.75" customHeight="1">
      <c r="B158" s="1">
        <v>294.0</v>
      </c>
      <c r="C158" s="1" t="s">
        <v>978</v>
      </c>
      <c r="D158" s="1" t="s">
        <v>2152</v>
      </c>
      <c r="E158" s="1" t="s">
        <v>1393</v>
      </c>
      <c r="F158" s="1">
        <v>4.9961545002369E13</v>
      </c>
      <c r="G158" s="1">
        <v>1.77024958E9</v>
      </c>
      <c r="H158" s="1">
        <v>52.0</v>
      </c>
      <c r="I158" s="1">
        <v>318.0</v>
      </c>
      <c r="J158" s="1">
        <v>9.4910002E7</v>
      </c>
      <c r="K158" s="1" t="s">
        <v>226</v>
      </c>
      <c r="L158" s="1" t="s">
        <v>2181</v>
      </c>
      <c r="M158" s="1" t="s">
        <v>2182</v>
      </c>
      <c r="N158" s="1">
        <v>1280.0</v>
      </c>
      <c r="O158" s="1" t="s">
        <v>2183</v>
      </c>
      <c r="P158" s="1" t="s">
        <v>988</v>
      </c>
      <c r="Q158" s="1" t="s">
        <v>990</v>
      </c>
      <c r="R158" s="1" t="s">
        <v>2158</v>
      </c>
      <c r="S158" s="1" t="s">
        <v>2158</v>
      </c>
      <c r="T158" s="1" t="s">
        <v>249</v>
      </c>
      <c r="U158" s="1" t="s">
        <v>575</v>
      </c>
      <c r="V158" s="1" t="s">
        <v>375</v>
      </c>
      <c r="W158" s="1" t="s">
        <v>252</v>
      </c>
      <c r="X158" s="1" t="s">
        <v>2160</v>
      </c>
      <c r="Y158" s="1">
        <v>366.0</v>
      </c>
      <c r="Z158" s="1" t="s">
        <v>1401</v>
      </c>
    </row>
    <row r="159" ht="15.75" customHeight="1">
      <c r="B159" s="1">
        <v>295.0</v>
      </c>
      <c r="C159" s="1" t="s">
        <v>978</v>
      </c>
      <c r="D159" s="1" t="s">
        <v>2152</v>
      </c>
      <c r="E159" s="1" t="s">
        <v>1403</v>
      </c>
      <c r="F159" s="1">
        <v>4.9961545002601E13</v>
      </c>
      <c r="G159" s="1">
        <v>5.70379164E8</v>
      </c>
      <c r="H159" s="1">
        <v>52.0</v>
      </c>
      <c r="I159" s="1">
        <v>319.0</v>
      </c>
      <c r="J159" s="1">
        <v>9.401E7</v>
      </c>
      <c r="K159" s="1" t="s">
        <v>226</v>
      </c>
      <c r="L159" s="1" t="s">
        <v>2184</v>
      </c>
      <c r="M159" s="1" t="s">
        <v>39</v>
      </c>
      <c r="N159" s="1">
        <v>1422.0</v>
      </c>
      <c r="O159" s="1" t="s">
        <v>2185</v>
      </c>
      <c r="P159" s="1" t="s">
        <v>988</v>
      </c>
      <c r="Q159" s="1" t="s">
        <v>1001</v>
      </c>
      <c r="R159" s="1" t="s">
        <v>2158</v>
      </c>
      <c r="S159" s="1" t="s">
        <v>2158</v>
      </c>
      <c r="T159" s="1" t="s">
        <v>249</v>
      </c>
      <c r="U159" s="1" t="s">
        <v>575</v>
      </c>
      <c r="V159" s="1" t="s">
        <v>375</v>
      </c>
      <c r="W159" s="1" t="s">
        <v>252</v>
      </c>
      <c r="X159" s="1" t="s">
        <v>2160</v>
      </c>
      <c r="Y159" s="1">
        <v>440.0</v>
      </c>
      <c r="Z159" s="1" t="s">
        <v>1411</v>
      </c>
    </row>
    <row r="160" ht="15.75" customHeight="1">
      <c r="B160" s="1">
        <v>346.0</v>
      </c>
      <c r="C160" s="1" t="s">
        <v>978</v>
      </c>
      <c r="D160" s="1" t="s">
        <v>2152</v>
      </c>
      <c r="E160" s="1" t="s">
        <v>2187</v>
      </c>
      <c r="F160" s="1">
        <v>4.9961545005465E13</v>
      </c>
      <c r="G160" s="1">
        <v>9.63959557E8</v>
      </c>
      <c r="H160" s="1">
        <v>52.0</v>
      </c>
      <c r="I160" s="1">
        <v>322.0</v>
      </c>
      <c r="J160" s="1">
        <v>9.13499E7</v>
      </c>
      <c r="K160" s="1" t="s">
        <v>226</v>
      </c>
      <c r="L160" s="1" t="s">
        <v>2155</v>
      </c>
      <c r="M160" s="1" t="s">
        <v>2174</v>
      </c>
      <c r="N160" s="1">
        <v>1181.0</v>
      </c>
      <c r="O160" s="1" t="s">
        <v>2175</v>
      </c>
      <c r="R160" s="1" t="s">
        <v>2158</v>
      </c>
      <c r="S160" s="1" t="s">
        <v>2158</v>
      </c>
      <c r="T160" s="1" t="s">
        <v>249</v>
      </c>
      <c r="U160" s="1" t="s">
        <v>575</v>
      </c>
      <c r="V160" s="1" t="s">
        <v>400</v>
      </c>
      <c r="W160" s="1" t="s">
        <v>857</v>
      </c>
      <c r="X160" s="1" t="s">
        <v>2160</v>
      </c>
      <c r="Y160" s="1">
        <v>1.0</v>
      </c>
    </row>
    <row r="161" ht="15.75" customHeight="1">
      <c r="B161" s="1">
        <v>296.0</v>
      </c>
      <c r="C161" s="1" t="s">
        <v>978</v>
      </c>
      <c r="D161" s="1" t="s">
        <v>2152</v>
      </c>
      <c r="E161" s="1" t="s">
        <v>2189</v>
      </c>
      <c r="F161" s="1">
        <v>4.9961545002016E13</v>
      </c>
      <c r="G161" s="1">
        <v>1.240338721E9</v>
      </c>
      <c r="H161" s="1">
        <v>52.0</v>
      </c>
      <c r="I161" s="1">
        <v>323.0</v>
      </c>
      <c r="J161" s="1">
        <v>9.301021E7</v>
      </c>
      <c r="K161" s="1" t="s">
        <v>226</v>
      </c>
      <c r="L161" s="1" t="s">
        <v>2190</v>
      </c>
      <c r="M161" s="1" t="s">
        <v>39</v>
      </c>
      <c r="N161" s="1">
        <v>821.0</v>
      </c>
      <c r="O161" s="1" t="s">
        <v>2191</v>
      </c>
      <c r="P161" s="1" t="s">
        <v>4</v>
      </c>
      <c r="Q161" s="1" t="s">
        <v>1001</v>
      </c>
      <c r="R161" s="1" t="s">
        <v>2158</v>
      </c>
      <c r="S161" s="1" t="s">
        <v>2158</v>
      </c>
      <c r="T161" s="1" t="s">
        <v>249</v>
      </c>
      <c r="U161" s="1" t="s">
        <v>575</v>
      </c>
      <c r="V161" s="1" t="s">
        <v>375</v>
      </c>
      <c r="W161" s="1" t="s">
        <v>252</v>
      </c>
      <c r="X161" s="1" t="s">
        <v>2160</v>
      </c>
      <c r="Y161" s="1">
        <v>152.0</v>
      </c>
      <c r="Z161" s="1" t="s">
        <v>1423</v>
      </c>
    </row>
    <row r="162" ht="15.75" customHeight="1">
      <c r="B162" s="1">
        <v>297.0</v>
      </c>
      <c r="C162" s="1" t="s">
        <v>978</v>
      </c>
      <c r="D162" s="1" t="s">
        <v>2152</v>
      </c>
      <c r="E162" s="1" t="s">
        <v>2192</v>
      </c>
      <c r="F162" s="1">
        <v>4.9961545002954E13</v>
      </c>
      <c r="G162" s="1">
        <v>9.63959719E8</v>
      </c>
      <c r="H162" s="1">
        <v>52.0</v>
      </c>
      <c r="I162" s="1">
        <v>326.0</v>
      </c>
      <c r="J162" s="1">
        <v>9.011097E7</v>
      </c>
      <c r="K162" s="1" t="s">
        <v>226</v>
      </c>
      <c r="L162" s="1" t="s">
        <v>2155</v>
      </c>
      <c r="M162" s="1" t="s">
        <v>2193</v>
      </c>
      <c r="N162" s="1">
        <v>1181.0</v>
      </c>
      <c r="O162" s="1" t="s">
        <v>2195</v>
      </c>
      <c r="P162" s="1" t="s">
        <v>4</v>
      </c>
      <c r="Q162" s="1" t="s">
        <v>990</v>
      </c>
      <c r="R162" s="1" t="s">
        <v>2158</v>
      </c>
      <c r="S162" s="1" t="s">
        <v>2158</v>
      </c>
      <c r="T162" s="1" t="s">
        <v>249</v>
      </c>
      <c r="U162" s="1" t="s">
        <v>575</v>
      </c>
      <c r="V162" s="1" t="s">
        <v>375</v>
      </c>
      <c r="W162" s="1" t="s">
        <v>252</v>
      </c>
      <c r="X162" s="1" t="s">
        <v>2160</v>
      </c>
      <c r="Y162" s="1">
        <v>117.0</v>
      </c>
      <c r="Z162" s="1" t="s">
        <v>1433</v>
      </c>
    </row>
    <row r="163" ht="15.75" customHeight="1">
      <c r="B163" s="1">
        <v>298.0</v>
      </c>
      <c r="C163" s="1" t="s">
        <v>978</v>
      </c>
      <c r="D163" s="1" t="s">
        <v>2152</v>
      </c>
      <c r="E163" s="1" t="s">
        <v>2196</v>
      </c>
      <c r="F163" s="1">
        <v>4.9961545001206E13</v>
      </c>
      <c r="G163" s="1">
        <v>9.63959565E8</v>
      </c>
      <c r="H163" s="1">
        <v>52.0</v>
      </c>
      <c r="I163" s="1">
        <v>327.0</v>
      </c>
      <c r="J163" s="1">
        <v>9.1010003E7</v>
      </c>
      <c r="K163" s="1" t="s">
        <v>226</v>
      </c>
      <c r="L163" s="1" t="s">
        <v>2155</v>
      </c>
      <c r="M163" s="1" t="s">
        <v>2197</v>
      </c>
      <c r="N163" s="1">
        <v>3522.0</v>
      </c>
      <c r="O163" s="1" t="s">
        <v>2198</v>
      </c>
      <c r="P163" s="1" t="s">
        <v>4</v>
      </c>
      <c r="Q163" s="1" t="s">
        <v>1001</v>
      </c>
      <c r="R163" s="1" t="s">
        <v>2158</v>
      </c>
      <c r="S163" s="1" t="s">
        <v>2158</v>
      </c>
      <c r="T163" s="1" t="s">
        <v>249</v>
      </c>
      <c r="U163" s="1" t="s">
        <v>575</v>
      </c>
      <c r="V163" s="1" t="s">
        <v>375</v>
      </c>
      <c r="W163" s="1" t="s">
        <v>252</v>
      </c>
      <c r="X163" s="1" t="s">
        <v>2160</v>
      </c>
      <c r="Y163" s="1">
        <v>99.0</v>
      </c>
      <c r="Z163" s="1" t="s">
        <v>1443</v>
      </c>
    </row>
    <row r="164" ht="15.75" customHeight="1">
      <c r="B164" s="1">
        <v>348.0</v>
      </c>
      <c r="C164" s="1" t="s">
        <v>978</v>
      </c>
      <c r="D164" s="1" t="s">
        <v>2152</v>
      </c>
      <c r="E164" s="1" t="s">
        <v>2200</v>
      </c>
      <c r="F164" s="1">
        <v>8.6356140000112E13</v>
      </c>
      <c r="G164" s="1">
        <v>0.0</v>
      </c>
      <c r="H164" s="1">
        <v>52.0</v>
      </c>
      <c r="I164" s="1">
        <v>329.0</v>
      </c>
      <c r="J164" s="1">
        <v>9.2020475E7</v>
      </c>
      <c r="K164" s="1" t="s">
        <v>226</v>
      </c>
      <c r="L164" s="1" t="s">
        <v>1534</v>
      </c>
      <c r="M164" s="1" t="s">
        <v>1533</v>
      </c>
      <c r="N164" s="1">
        <v>4545.0</v>
      </c>
      <c r="O164" s="1" t="s">
        <v>2172</v>
      </c>
      <c r="R164" s="1" t="s">
        <v>2158</v>
      </c>
      <c r="S164" s="1" t="s">
        <v>2158</v>
      </c>
      <c r="T164" s="1" t="s">
        <v>249</v>
      </c>
      <c r="U164" s="1" t="s">
        <v>575</v>
      </c>
      <c r="V164" s="1" t="s">
        <v>400</v>
      </c>
      <c r="W164" s="1" t="s">
        <v>857</v>
      </c>
      <c r="X164" s="1" t="s">
        <v>2160</v>
      </c>
      <c r="Y164" s="1">
        <v>1.0</v>
      </c>
    </row>
    <row r="165" ht="15.75" customHeight="1">
      <c r="B165" s="1">
        <v>299.0</v>
      </c>
      <c r="C165" s="1" t="s">
        <v>978</v>
      </c>
      <c r="D165" s="1" t="s">
        <v>2152</v>
      </c>
      <c r="E165" s="1" t="s">
        <v>1445</v>
      </c>
      <c r="F165" s="1">
        <v>4.9961545004736E13</v>
      </c>
      <c r="G165" s="1">
        <v>9.63959689E8</v>
      </c>
      <c r="H165" s="1">
        <v>52.0</v>
      </c>
      <c r="I165" s="1">
        <v>333.0</v>
      </c>
      <c r="J165" s="1">
        <v>9.0020008E7</v>
      </c>
      <c r="K165" s="1" t="s">
        <v>226</v>
      </c>
      <c r="L165" s="1" t="s">
        <v>2155</v>
      </c>
      <c r="M165" s="1" t="s">
        <v>2156</v>
      </c>
      <c r="N165" s="1">
        <v>1370.0</v>
      </c>
      <c r="O165" s="1" t="s">
        <v>2157</v>
      </c>
      <c r="P165" s="1" t="s">
        <v>988</v>
      </c>
      <c r="Q165" s="1" t="s">
        <v>990</v>
      </c>
      <c r="R165" s="1" t="s">
        <v>2158</v>
      </c>
      <c r="S165" s="1" t="s">
        <v>2158</v>
      </c>
      <c r="T165" s="1" t="s">
        <v>249</v>
      </c>
      <c r="U165" s="1" t="s">
        <v>575</v>
      </c>
      <c r="V165" s="1" t="s">
        <v>375</v>
      </c>
      <c r="W165" s="1" t="s">
        <v>252</v>
      </c>
      <c r="X165" s="1" t="s">
        <v>2160</v>
      </c>
      <c r="Y165" s="1">
        <v>185.0</v>
      </c>
      <c r="Z165" s="1" t="s">
        <v>1451</v>
      </c>
    </row>
    <row r="166" ht="15.75" customHeight="1">
      <c r="B166" s="1">
        <v>301.0</v>
      </c>
      <c r="C166" s="1" t="s">
        <v>978</v>
      </c>
      <c r="D166" s="1" t="s">
        <v>2152</v>
      </c>
      <c r="E166" s="1" t="s">
        <v>1453</v>
      </c>
      <c r="F166" s="1">
        <v>4.9961545003411E13</v>
      </c>
      <c r="G166" s="1">
        <v>2.40568206E8</v>
      </c>
      <c r="H166" s="1">
        <v>52.0</v>
      </c>
      <c r="I166" s="1">
        <v>337.0</v>
      </c>
      <c r="J166" s="1">
        <v>9.2200654E7</v>
      </c>
      <c r="K166" s="1" t="s">
        <v>226</v>
      </c>
      <c r="L166" s="1" t="s">
        <v>1534</v>
      </c>
      <c r="M166" s="1" t="s">
        <v>2203</v>
      </c>
      <c r="N166" s="1">
        <v>6750.0</v>
      </c>
      <c r="O166" s="1" t="s">
        <v>2204</v>
      </c>
      <c r="P166" s="1" t="s">
        <v>4</v>
      </c>
      <c r="Q166" s="1" t="s">
        <v>1001</v>
      </c>
      <c r="R166" s="1" t="s">
        <v>2158</v>
      </c>
      <c r="S166" s="1" t="s">
        <v>2158</v>
      </c>
      <c r="T166" s="1" t="s">
        <v>249</v>
      </c>
      <c r="U166" s="1" t="s">
        <v>575</v>
      </c>
      <c r="V166" s="1" t="s">
        <v>375</v>
      </c>
      <c r="W166" s="1" t="s">
        <v>252</v>
      </c>
      <c r="X166" s="1" t="s">
        <v>2160</v>
      </c>
      <c r="Y166" s="1">
        <v>160.0</v>
      </c>
      <c r="Z166" s="1" t="s">
        <v>1458</v>
      </c>
    </row>
    <row r="167" ht="15.75" customHeight="1">
      <c r="B167" s="1">
        <v>302.0</v>
      </c>
      <c r="C167" s="1" t="s">
        <v>978</v>
      </c>
      <c r="D167" s="1" t="s">
        <v>2152</v>
      </c>
      <c r="E167" s="1" t="s">
        <v>2206</v>
      </c>
      <c r="F167" s="1">
        <v>4.9961545000234E13</v>
      </c>
      <c r="G167" s="1">
        <v>9.63959476E8</v>
      </c>
      <c r="H167" s="1">
        <v>52.0</v>
      </c>
      <c r="I167" s="1">
        <v>338.0</v>
      </c>
      <c r="J167" s="1">
        <v>9.061E7</v>
      </c>
      <c r="K167" s="1" t="s">
        <v>226</v>
      </c>
      <c r="L167" s="1" t="s">
        <v>2155</v>
      </c>
      <c r="M167" s="1" t="s">
        <v>2207</v>
      </c>
      <c r="N167" s="1">
        <v>5200.0</v>
      </c>
      <c r="O167" s="1" t="s">
        <v>2208</v>
      </c>
      <c r="P167" s="1" t="s">
        <v>4</v>
      </c>
      <c r="Q167" s="1" t="s">
        <v>990</v>
      </c>
      <c r="R167" s="1" t="s">
        <v>2158</v>
      </c>
      <c r="S167" s="1" t="s">
        <v>2209</v>
      </c>
      <c r="T167" s="1" t="s">
        <v>249</v>
      </c>
      <c r="U167" s="1" t="s">
        <v>575</v>
      </c>
      <c r="V167" s="1" t="s">
        <v>400</v>
      </c>
      <c r="W167" s="1" t="s">
        <v>252</v>
      </c>
      <c r="X167" s="1" t="s">
        <v>2160</v>
      </c>
      <c r="Y167" s="1">
        <v>144.0</v>
      </c>
      <c r="Z167" s="1" t="s">
        <v>1470</v>
      </c>
    </row>
    <row r="168" ht="15.75" customHeight="1">
      <c r="B168" s="1">
        <v>303.0</v>
      </c>
      <c r="C168" s="1" t="s">
        <v>978</v>
      </c>
      <c r="D168" s="1" t="s">
        <v>2152</v>
      </c>
      <c r="E168" s="1" t="s">
        <v>1474</v>
      </c>
      <c r="F168" s="1">
        <v>4.9961545002288E13</v>
      </c>
      <c r="G168" s="1">
        <v>8.60564517E8</v>
      </c>
      <c r="H168" s="1">
        <v>52.0</v>
      </c>
      <c r="I168" s="1">
        <v>339.0</v>
      </c>
      <c r="J168" s="1">
        <v>9.3310065E7</v>
      </c>
      <c r="K168" s="1" t="s">
        <v>226</v>
      </c>
      <c r="L168" s="1" t="s">
        <v>2210</v>
      </c>
      <c r="M168" s="1" t="s">
        <v>2178</v>
      </c>
      <c r="N168" s="1">
        <v>2001.0</v>
      </c>
      <c r="O168" s="1" t="s">
        <v>2211</v>
      </c>
      <c r="P168" s="1" t="s">
        <v>4</v>
      </c>
      <c r="Q168" s="1" t="s">
        <v>990</v>
      </c>
      <c r="R168" s="1" t="s">
        <v>2158</v>
      </c>
      <c r="S168" s="1" t="s">
        <v>2158</v>
      </c>
      <c r="T168" s="1" t="s">
        <v>249</v>
      </c>
      <c r="U168" s="1" t="s">
        <v>575</v>
      </c>
      <c r="V168" s="1" t="s">
        <v>375</v>
      </c>
      <c r="W168" s="1" t="s">
        <v>252</v>
      </c>
      <c r="X168" s="1" t="s">
        <v>2160</v>
      </c>
      <c r="Y168" s="1">
        <v>377.0</v>
      </c>
      <c r="Z168" s="1" t="s">
        <v>1480</v>
      </c>
    </row>
    <row r="169" ht="15.75" customHeight="1">
      <c r="B169" s="1">
        <v>304.0</v>
      </c>
      <c r="C169" s="1" t="s">
        <v>978</v>
      </c>
      <c r="D169" s="1" t="s">
        <v>2152</v>
      </c>
      <c r="E169" s="1" t="s">
        <v>1482</v>
      </c>
      <c r="F169" s="1">
        <v>4.9961545001044E13</v>
      </c>
      <c r="G169" s="1">
        <v>9.63959786E8</v>
      </c>
      <c r="H169" s="1">
        <v>52.0</v>
      </c>
      <c r="I169" s="1">
        <v>343.0</v>
      </c>
      <c r="J169" s="1">
        <v>9.13499E7</v>
      </c>
      <c r="K169" s="1" t="s">
        <v>226</v>
      </c>
      <c r="L169" s="1" t="s">
        <v>2155</v>
      </c>
      <c r="M169" s="1" t="s">
        <v>2174</v>
      </c>
      <c r="N169" s="1">
        <v>1800.0</v>
      </c>
      <c r="O169" s="1" t="s">
        <v>2175</v>
      </c>
      <c r="P169" s="1" t="s">
        <v>4</v>
      </c>
      <c r="Q169" s="1" t="s">
        <v>990</v>
      </c>
      <c r="R169" s="1" t="s">
        <v>2158</v>
      </c>
      <c r="S169" s="1" t="s">
        <v>2209</v>
      </c>
      <c r="T169" s="1" t="s">
        <v>249</v>
      </c>
      <c r="U169" s="1" t="s">
        <v>575</v>
      </c>
      <c r="V169" s="1" t="s">
        <v>400</v>
      </c>
      <c r="W169" s="1" t="s">
        <v>252</v>
      </c>
      <c r="X169" s="1" t="s">
        <v>2160</v>
      </c>
      <c r="Y169" s="1">
        <v>563.0</v>
      </c>
      <c r="Z169" s="1" t="s">
        <v>1490</v>
      </c>
    </row>
    <row r="170" ht="15.75" customHeight="1">
      <c r="B170" s="1">
        <v>305.0</v>
      </c>
      <c r="C170" s="1" t="s">
        <v>978</v>
      </c>
      <c r="D170" s="1" t="s">
        <v>2152</v>
      </c>
      <c r="E170" s="1" t="s">
        <v>1497</v>
      </c>
      <c r="F170" s="1">
        <v>4.996154500163E13</v>
      </c>
      <c r="G170" s="1">
        <v>2.40568192E8</v>
      </c>
      <c r="H170" s="1">
        <v>52.0</v>
      </c>
      <c r="I170" s="1">
        <v>345.0</v>
      </c>
      <c r="J170" s="1">
        <v>9.2200654E7</v>
      </c>
      <c r="K170" s="1" t="s">
        <v>226</v>
      </c>
      <c r="L170" s="1" t="s">
        <v>1534</v>
      </c>
      <c r="M170" s="1" t="s">
        <v>2203</v>
      </c>
      <c r="N170" s="1">
        <v>6750.0</v>
      </c>
      <c r="O170" s="1" t="s">
        <v>2204</v>
      </c>
      <c r="P170" s="1" t="s">
        <v>4</v>
      </c>
      <c r="Q170" s="1" t="s">
        <v>1001</v>
      </c>
      <c r="R170" s="1" t="s">
        <v>2158</v>
      </c>
      <c r="S170" s="1" t="s">
        <v>2209</v>
      </c>
      <c r="T170" s="1" t="s">
        <v>249</v>
      </c>
      <c r="U170" s="1" t="s">
        <v>575</v>
      </c>
      <c r="V170" s="1" t="s">
        <v>400</v>
      </c>
      <c r="W170" s="1" t="s">
        <v>252</v>
      </c>
      <c r="X170" s="1" t="s">
        <v>2160</v>
      </c>
      <c r="Y170" s="1">
        <v>341.0</v>
      </c>
      <c r="Z170" s="1" t="s">
        <v>1506</v>
      </c>
    </row>
    <row r="171" ht="15.75" customHeight="1">
      <c r="B171" s="1">
        <v>349.0</v>
      </c>
      <c r="C171" s="1" t="s">
        <v>978</v>
      </c>
      <c r="D171" s="1" t="s">
        <v>2152</v>
      </c>
      <c r="E171" s="1" t="s">
        <v>2215</v>
      </c>
      <c r="F171" s="1">
        <v>4.9961545006003E13</v>
      </c>
      <c r="G171" s="1">
        <v>2.62315831E8</v>
      </c>
      <c r="H171" s="1">
        <v>52.0</v>
      </c>
      <c r="I171" s="1">
        <v>346.0</v>
      </c>
      <c r="J171" s="1">
        <v>8.9251E7</v>
      </c>
      <c r="K171" s="1" t="s">
        <v>240</v>
      </c>
      <c r="L171" s="1" t="s">
        <v>2216</v>
      </c>
      <c r="M171" s="1" t="s">
        <v>39</v>
      </c>
      <c r="N171" s="1">
        <v>268.0</v>
      </c>
      <c r="O171" s="1" t="s">
        <v>2217</v>
      </c>
      <c r="P171" s="1" t="s">
        <v>4</v>
      </c>
      <c r="Q171" s="1" t="s">
        <v>1001</v>
      </c>
      <c r="R171" s="1" t="s">
        <v>2158</v>
      </c>
      <c r="S171" s="1" t="s">
        <v>2158</v>
      </c>
      <c r="T171" s="1" t="s">
        <v>249</v>
      </c>
      <c r="U171" s="1" t="s">
        <v>575</v>
      </c>
      <c r="V171" s="1" t="s">
        <v>419</v>
      </c>
      <c r="W171" s="1" t="s">
        <v>252</v>
      </c>
      <c r="X171" s="1" t="s">
        <v>2160</v>
      </c>
      <c r="Y171" s="1">
        <v>300.0</v>
      </c>
      <c r="Z171" s="1" t="s">
        <v>1515</v>
      </c>
    </row>
    <row r="172" ht="15.75" customHeight="1">
      <c r="B172" s="1">
        <v>306.0</v>
      </c>
      <c r="C172" s="1" t="s">
        <v>978</v>
      </c>
      <c r="D172" s="1" t="s">
        <v>2152</v>
      </c>
      <c r="E172" s="1" t="s">
        <v>2218</v>
      </c>
      <c r="F172" s="1">
        <v>4.9961545002873E13</v>
      </c>
      <c r="G172" s="1">
        <v>2.90712475E8</v>
      </c>
      <c r="H172" s="1">
        <v>52.0</v>
      </c>
      <c r="I172" s="1">
        <v>347.0</v>
      </c>
      <c r="J172" s="1">
        <v>9.511069E7</v>
      </c>
      <c r="K172" s="1" t="s">
        <v>226</v>
      </c>
      <c r="L172" s="1" t="s">
        <v>2220</v>
      </c>
      <c r="M172" s="1" t="s">
        <v>2222</v>
      </c>
      <c r="N172" s="1">
        <v>2780.0</v>
      </c>
      <c r="O172" s="1" t="s">
        <v>2223</v>
      </c>
      <c r="P172" s="1" t="s">
        <v>4</v>
      </c>
      <c r="Q172" s="1" t="s">
        <v>990</v>
      </c>
      <c r="R172" s="1" t="s">
        <v>2158</v>
      </c>
      <c r="S172" s="1" t="s">
        <v>2158</v>
      </c>
      <c r="T172" s="1" t="s">
        <v>249</v>
      </c>
      <c r="U172" s="1" t="s">
        <v>575</v>
      </c>
      <c r="V172" s="1" t="s">
        <v>400</v>
      </c>
      <c r="W172" s="1" t="s">
        <v>252</v>
      </c>
      <c r="X172" s="1" t="s">
        <v>2160</v>
      </c>
      <c r="Y172" s="1">
        <v>550.0</v>
      </c>
      <c r="Z172" s="1" t="s">
        <v>1527</v>
      </c>
    </row>
    <row r="173" ht="15.75" customHeight="1">
      <c r="B173" s="1">
        <v>376.0</v>
      </c>
      <c r="C173" s="1" t="s">
        <v>978</v>
      </c>
      <c r="D173" s="1" t="s">
        <v>2152</v>
      </c>
      <c r="E173" s="1" t="s">
        <v>1530</v>
      </c>
      <c r="F173" s="1">
        <v>4.996154500252E13</v>
      </c>
      <c r="G173" s="1">
        <v>2.40588762E8</v>
      </c>
      <c r="H173" s="1">
        <v>52.0</v>
      </c>
      <c r="I173" s="1">
        <v>348.0</v>
      </c>
      <c r="J173" s="1">
        <v>9.2020475E7</v>
      </c>
      <c r="K173" s="1" t="s">
        <v>226</v>
      </c>
      <c r="L173" s="1" t="s">
        <v>1534</v>
      </c>
      <c r="M173" s="1" t="s">
        <v>1533</v>
      </c>
      <c r="N173" s="1">
        <v>4545.0</v>
      </c>
      <c r="O173" s="1" t="s">
        <v>2172</v>
      </c>
      <c r="P173" s="1" t="s">
        <v>4</v>
      </c>
      <c r="Q173" s="1" t="s">
        <v>1001</v>
      </c>
      <c r="R173" s="1" t="s">
        <v>2158</v>
      </c>
      <c r="S173" s="1" t="s">
        <v>2209</v>
      </c>
      <c r="T173" s="1" t="s">
        <v>249</v>
      </c>
      <c r="U173" s="1" t="s">
        <v>575</v>
      </c>
      <c r="V173" s="1" t="s">
        <v>400</v>
      </c>
      <c r="W173" s="1" t="s">
        <v>252</v>
      </c>
      <c r="X173" s="1" t="s">
        <v>2160</v>
      </c>
      <c r="Y173" s="1">
        <v>211.0</v>
      </c>
      <c r="Z173" s="1" t="s">
        <v>1537</v>
      </c>
    </row>
    <row r="174" ht="15.75" customHeight="1">
      <c r="B174" s="1">
        <v>350.0</v>
      </c>
      <c r="C174" s="1" t="s">
        <v>978</v>
      </c>
      <c r="D174" s="1" t="s">
        <v>2152</v>
      </c>
      <c r="E174" s="1" t="s">
        <v>2224</v>
      </c>
      <c r="F174" s="1">
        <v>4.996154500597E13</v>
      </c>
      <c r="G174" s="1">
        <v>2.62315823E8</v>
      </c>
      <c r="H174" s="1">
        <v>52.0</v>
      </c>
      <c r="I174" s="1">
        <v>349.0</v>
      </c>
      <c r="J174" s="1">
        <v>8.8035E7</v>
      </c>
      <c r="K174" s="1" t="s">
        <v>240</v>
      </c>
      <c r="L174" s="1" t="s">
        <v>1137</v>
      </c>
      <c r="M174" s="1" t="s">
        <v>2226</v>
      </c>
      <c r="N174" s="1">
        <v>687.0</v>
      </c>
      <c r="O174" s="1" t="s">
        <v>2228</v>
      </c>
      <c r="P174" s="1" t="s">
        <v>4</v>
      </c>
      <c r="Q174" s="1" t="s">
        <v>990</v>
      </c>
      <c r="R174" s="1" t="s">
        <v>2158</v>
      </c>
      <c r="S174" s="1" t="s">
        <v>2209</v>
      </c>
      <c r="T174" s="1" t="s">
        <v>249</v>
      </c>
      <c r="U174" s="1" t="s">
        <v>575</v>
      </c>
      <c r="V174" s="1" t="s">
        <v>419</v>
      </c>
      <c r="W174" s="1" t="s">
        <v>252</v>
      </c>
      <c r="X174" s="1" t="s">
        <v>2160</v>
      </c>
      <c r="Y174" s="1">
        <v>235.0</v>
      </c>
      <c r="Z174" s="1" t="s">
        <v>1547</v>
      </c>
    </row>
    <row r="175" ht="15.75" customHeight="1">
      <c r="B175" s="1">
        <v>351.0</v>
      </c>
      <c r="C175" s="1" t="s">
        <v>978</v>
      </c>
      <c r="D175" s="1" t="s">
        <v>2152</v>
      </c>
      <c r="E175" s="1" t="s">
        <v>2229</v>
      </c>
      <c r="F175" s="1">
        <v>4.9961545006194E13</v>
      </c>
      <c r="G175" s="1">
        <v>2.6231584E8</v>
      </c>
      <c r="H175" s="1">
        <v>52.0</v>
      </c>
      <c r="I175" s="1">
        <v>351.0</v>
      </c>
      <c r="J175" s="1">
        <v>8.9010203E7</v>
      </c>
      <c r="K175" s="1" t="s">
        <v>240</v>
      </c>
      <c r="L175" s="1" t="s">
        <v>2230</v>
      </c>
      <c r="M175" s="1" t="s">
        <v>39</v>
      </c>
      <c r="N175" s="1">
        <v>1213.0</v>
      </c>
      <c r="O175" s="1" t="s">
        <v>258</v>
      </c>
      <c r="P175" s="1" t="s">
        <v>4</v>
      </c>
      <c r="Q175" s="1" t="s">
        <v>1001</v>
      </c>
      <c r="R175" s="1" t="s">
        <v>2158</v>
      </c>
      <c r="S175" s="1" t="s">
        <v>2158</v>
      </c>
      <c r="T175" s="1" t="s">
        <v>249</v>
      </c>
      <c r="U175" s="1" t="s">
        <v>575</v>
      </c>
      <c r="V175" s="1" t="s">
        <v>419</v>
      </c>
      <c r="W175" s="1" t="s">
        <v>252</v>
      </c>
      <c r="X175" s="1" t="s">
        <v>2160</v>
      </c>
      <c r="Y175" s="1">
        <v>280.0</v>
      </c>
      <c r="Z175" s="1" t="s">
        <v>1557</v>
      </c>
    </row>
    <row r="176" ht="15.75" customHeight="1">
      <c r="B176" s="1">
        <v>308.0</v>
      </c>
      <c r="C176" s="1" t="s">
        <v>978</v>
      </c>
      <c r="D176" s="1" t="s">
        <v>2152</v>
      </c>
      <c r="E176" s="1" t="s">
        <v>1559</v>
      </c>
      <c r="F176" s="1">
        <v>4.996154500171E13</v>
      </c>
      <c r="G176" s="1">
        <v>9.6395959E8</v>
      </c>
      <c r="H176" s="1">
        <v>52.0</v>
      </c>
      <c r="I176" s="1">
        <v>352.0</v>
      </c>
      <c r="J176" s="1">
        <v>9.081008E7</v>
      </c>
      <c r="K176" s="1" t="s">
        <v>226</v>
      </c>
      <c r="L176" s="1" t="s">
        <v>2155</v>
      </c>
      <c r="M176" s="1" t="s">
        <v>2232</v>
      </c>
      <c r="N176" s="1">
        <v>300.0</v>
      </c>
      <c r="O176" s="1" t="s">
        <v>2233</v>
      </c>
      <c r="P176" s="1" t="s">
        <v>4</v>
      </c>
      <c r="Q176" s="1" t="s">
        <v>990</v>
      </c>
      <c r="R176" s="1" t="s">
        <v>2158</v>
      </c>
      <c r="S176" s="1" t="s">
        <v>2158</v>
      </c>
      <c r="T176" s="1" t="s">
        <v>249</v>
      </c>
      <c r="U176" s="1" t="s">
        <v>575</v>
      </c>
      <c r="V176" s="1" t="s">
        <v>375</v>
      </c>
      <c r="W176" s="1" t="s">
        <v>252</v>
      </c>
      <c r="X176" s="1" t="s">
        <v>2160</v>
      </c>
      <c r="Y176" s="1">
        <v>136.0</v>
      </c>
      <c r="Z176" s="1" t="s">
        <v>1566</v>
      </c>
    </row>
    <row r="177" ht="15.75" customHeight="1">
      <c r="B177" s="1">
        <v>309.0</v>
      </c>
      <c r="C177" s="1" t="s">
        <v>978</v>
      </c>
      <c r="D177" s="1" t="s">
        <v>2152</v>
      </c>
      <c r="E177" s="1" t="s">
        <v>1569</v>
      </c>
      <c r="F177" s="1">
        <v>4.996154500082E13</v>
      </c>
      <c r="G177" s="1">
        <v>9.63959506E8</v>
      </c>
      <c r="H177" s="1">
        <v>52.0</v>
      </c>
      <c r="I177" s="1">
        <v>353.0</v>
      </c>
      <c r="J177" s="1">
        <v>9.081008E7</v>
      </c>
      <c r="K177" s="1" t="s">
        <v>226</v>
      </c>
      <c r="L177" s="1" t="s">
        <v>2155</v>
      </c>
      <c r="M177" s="1" t="s">
        <v>2232</v>
      </c>
      <c r="N177" s="1">
        <v>300.0</v>
      </c>
      <c r="O177" s="1" t="s">
        <v>2233</v>
      </c>
      <c r="P177" s="1" t="s">
        <v>4</v>
      </c>
      <c r="Q177" s="1" t="s">
        <v>990</v>
      </c>
      <c r="R177" s="1" t="s">
        <v>2158</v>
      </c>
      <c r="S177" s="1" t="s">
        <v>2209</v>
      </c>
      <c r="T177" s="1" t="s">
        <v>249</v>
      </c>
      <c r="U177" s="1" t="s">
        <v>575</v>
      </c>
      <c r="V177" s="1" t="s">
        <v>400</v>
      </c>
      <c r="W177" s="1" t="s">
        <v>252</v>
      </c>
      <c r="X177" s="1" t="s">
        <v>2160</v>
      </c>
      <c r="Y177" s="1">
        <v>402.0</v>
      </c>
      <c r="Z177" s="1" t="s">
        <v>1572</v>
      </c>
    </row>
    <row r="178" ht="15.75" customHeight="1">
      <c r="B178" s="1">
        <v>352.0</v>
      </c>
      <c r="C178" s="1" t="s">
        <v>978</v>
      </c>
      <c r="D178" s="1" t="s">
        <v>2152</v>
      </c>
      <c r="E178" s="1" t="s">
        <v>2235</v>
      </c>
      <c r="F178" s="1">
        <v>4.9961545006356E13</v>
      </c>
      <c r="G178" s="1">
        <v>9.10406057E8</v>
      </c>
      <c r="H178" s="1">
        <v>52.0</v>
      </c>
      <c r="I178" s="1">
        <v>355.0</v>
      </c>
      <c r="J178" s="1">
        <v>9.901005E7</v>
      </c>
      <c r="K178" s="1" t="s">
        <v>226</v>
      </c>
      <c r="L178" s="1" t="s">
        <v>2236</v>
      </c>
      <c r="M178" s="1" t="s">
        <v>39</v>
      </c>
      <c r="N178" s="1">
        <v>355.0</v>
      </c>
      <c r="O178" s="1" t="s">
        <v>2237</v>
      </c>
      <c r="P178" s="1" t="s">
        <v>4</v>
      </c>
      <c r="Q178" s="1" t="s">
        <v>1001</v>
      </c>
      <c r="R178" s="1" t="s">
        <v>2158</v>
      </c>
      <c r="S178" s="1" t="s">
        <v>2158</v>
      </c>
      <c r="T178" s="1" t="s">
        <v>249</v>
      </c>
      <c r="U178" s="1" t="s">
        <v>575</v>
      </c>
      <c r="V178" s="1" t="s">
        <v>400</v>
      </c>
      <c r="W178" s="1" t="s">
        <v>252</v>
      </c>
      <c r="X178" s="1" t="s">
        <v>2160</v>
      </c>
      <c r="Y178" s="1">
        <v>224.0</v>
      </c>
      <c r="Z178" s="1" t="s">
        <v>1585</v>
      </c>
    </row>
    <row r="179" ht="15.75" customHeight="1">
      <c r="B179" s="1">
        <v>317.0</v>
      </c>
      <c r="C179" s="1" t="s">
        <v>978</v>
      </c>
      <c r="D179" s="1" t="s">
        <v>2152</v>
      </c>
      <c r="E179" s="1" t="s">
        <v>2238</v>
      </c>
      <c r="F179" s="1">
        <v>4.9961545003179E13</v>
      </c>
      <c r="G179" s="1">
        <v>9.63959662E8</v>
      </c>
      <c r="H179" s="1">
        <v>52.0</v>
      </c>
      <c r="I179" s="1">
        <v>356.0</v>
      </c>
      <c r="J179" s="1">
        <v>9.0020008E7</v>
      </c>
      <c r="K179" s="1" t="s">
        <v>226</v>
      </c>
      <c r="L179" s="1" t="s">
        <v>2155</v>
      </c>
      <c r="M179" s="1" t="s">
        <v>2156</v>
      </c>
      <c r="N179" s="1">
        <v>1320.0</v>
      </c>
      <c r="O179" s="1" t="s">
        <v>2157</v>
      </c>
      <c r="P179" s="1" t="s">
        <v>988</v>
      </c>
      <c r="Q179" s="1" t="s">
        <v>1001</v>
      </c>
      <c r="R179" s="1" t="s">
        <v>2158</v>
      </c>
      <c r="S179" s="1" t="s">
        <v>2209</v>
      </c>
      <c r="T179" s="1" t="s">
        <v>249</v>
      </c>
      <c r="U179" s="1" t="s">
        <v>575</v>
      </c>
      <c r="V179" s="1" t="s">
        <v>400</v>
      </c>
      <c r="W179" s="1" t="s">
        <v>252</v>
      </c>
      <c r="X179" s="1" t="s">
        <v>2160</v>
      </c>
      <c r="Y179" s="1">
        <v>190.0</v>
      </c>
      <c r="Z179" s="1" t="s">
        <v>1593</v>
      </c>
    </row>
    <row r="180" ht="15.75" customHeight="1">
      <c r="B180" s="1">
        <v>353.0</v>
      </c>
      <c r="C180" s="1" t="s">
        <v>978</v>
      </c>
      <c r="D180" s="1" t="s">
        <v>2152</v>
      </c>
      <c r="E180" s="1" t="s">
        <v>2240</v>
      </c>
      <c r="F180" s="1">
        <v>4.9961545006275E13</v>
      </c>
      <c r="G180" s="1">
        <v>2.62315858E8</v>
      </c>
      <c r="H180" s="1">
        <v>52.0</v>
      </c>
      <c r="I180" s="1">
        <v>359.0</v>
      </c>
      <c r="J180" s="1">
        <v>8.9223005E7</v>
      </c>
      <c r="K180" s="1" t="s">
        <v>240</v>
      </c>
      <c r="L180" s="1" t="s">
        <v>1151</v>
      </c>
      <c r="M180" s="1" t="s">
        <v>2241</v>
      </c>
      <c r="N180" s="1">
        <v>333.0</v>
      </c>
      <c r="O180" s="1" t="s">
        <v>2242</v>
      </c>
      <c r="P180" s="1" t="s">
        <v>4</v>
      </c>
      <c r="Q180" s="1" t="s">
        <v>1001</v>
      </c>
      <c r="R180" s="1" t="s">
        <v>2158</v>
      </c>
      <c r="S180" s="1" t="s">
        <v>2158</v>
      </c>
      <c r="T180" s="1" t="s">
        <v>249</v>
      </c>
      <c r="U180" s="1" t="s">
        <v>575</v>
      </c>
      <c r="V180" s="1" t="s">
        <v>419</v>
      </c>
      <c r="W180" s="1" t="s">
        <v>252</v>
      </c>
      <c r="X180" s="1" t="s">
        <v>2160</v>
      </c>
      <c r="Y180" s="1">
        <v>360.0</v>
      </c>
      <c r="Z180" s="1" t="s">
        <v>1604</v>
      </c>
    </row>
    <row r="181" ht="15.75" customHeight="1">
      <c r="B181" s="1">
        <v>310.0</v>
      </c>
      <c r="C181" s="1" t="s">
        <v>978</v>
      </c>
      <c r="D181" s="1" t="s">
        <v>2243</v>
      </c>
      <c r="E181" s="1" t="s">
        <v>2244</v>
      </c>
      <c r="F181" s="1">
        <v>4.9961545004906E13</v>
      </c>
      <c r="G181" s="1">
        <v>9.6395976E8</v>
      </c>
      <c r="H181" s="1">
        <v>1.0</v>
      </c>
      <c r="I181" s="1">
        <v>360.0</v>
      </c>
      <c r="J181" s="1">
        <v>9.0020007E7</v>
      </c>
      <c r="K181" s="1" t="s">
        <v>226</v>
      </c>
      <c r="L181" s="1" t="s">
        <v>2155</v>
      </c>
      <c r="M181" s="1" t="s">
        <v>2156</v>
      </c>
      <c r="N181" s="1">
        <v>1001.0</v>
      </c>
      <c r="O181" s="1" t="s">
        <v>2157</v>
      </c>
      <c r="R181" s="1" t="s">
        <v>124</v>
      </c>
      <c r="S181" s="1" t="s">
        <v>124</v>
      </c>
      <c r="T181" s="1" t="s">
        <v>249</v>
      </c>
      <c r="U181" s="1" t="s">
        <v>575</v>
      </c>
      <c r="V181" s="1" t="s">
        <v>375</v>
      </c>
      <c r="W181" s="1" t="s">
        <v>857</v>
      </c>
      <c r="X181" s="1" t="s">
        <v>1116</v>
      </c>
      <c r="Y181" s="1">
        <v>1.0</v>
      </c>
    </row>
    <row r="182" ht="15.75" customHeight="1">
      <c r="B182" s="1">
        <v>311.0</v>
      </c>
      <c r="C182" s="1" t="s">
        <v>978</v>
      </c>
      <c r="D182" s="1" t="s">
        <v>2152</v>
      </c>
      <c r="E182" s="1" t="s">
        <v>2245</v>
      </c>
      <c r="F182" s="1">
        <v>4.99615450009E13</v>
      </c>
      <c r="G182" s="1">
        <v>1.090426167E9</v>
      </c>
      <c r="H182" s="1">
        <v>52.0</v>
      </c>
      <c r="I182" s="1">
        <v>362.0</v>
      </c>
      <c r="J182" s="1">
        <v>9.7050531E7</v>
      </c>
      <c r="K182" s="1" t="s">
        <v>226</v>
      </c>
      <c r="L182" s="1" t="s">
        <v>2246</v>
      </c>
      <c r="M182" s="1" t="s">
        <v>2247</v>
      </c>
      <c r="N182" s="1">
        <v>305.0</v>
      </c>
      <c r="O182" s="1" t="s">
        <v>2248</v>
      </c>
      <c r="P182" s="1" t="s">
        <v>4</v>
      </c>
      <c r="Q182" s="1" t="s">
        <v>1001</v>
      </c>
      <c r="R182" s="1" t="s">
        <v>2158</v>
      </c>
      <c r="S182" s="1" t="s">
        <v>2209</v>
      </c>
      <c r="T182" s="1" t="s">
        <v>249</v>
      </c>
      <c r="U182" s="1" t="s">
        <v>575</v>
      </c>
      <c r="V182" s="1" t="s">
        <v>400</v>
      </c>
      <c r="W182" s="1" t="s">
        <v>252</v>
      </c>
      <c r="X182" s="1" t="s">
        <v>2160</v>
      </c>
      <c r="Y182" s="1">
        <v>222.0</v>
      </c>
      <c r="Z182" s="1" t="s">
        <v>1617</v>
      </c>
    </row>
    <row r="183" ht="15.75" customHeight="1">
      <c r="B183" s="1">
        <v>354.0</v>
      </c>
      <c r="C183" s="1" t="s">
        <v>978</v>
      </c>
      <c r="D183" s="1" t="s">
        <v>2152</v>
      </c>
      <c r="E183" s="1" t="s">
        <v>2249</v>
      </c>
      <c r="F183" s="1">
        <v>4.9961545006437E13</v>
      </c>
      <c r="G183" s="1">
        <v>2.62315866E8</v>
      </c>
      <c r="H183" s="1">
        <v>52.0</v>
      </c>
      <c r="I183" s="1">
        <v>363.0</v>
      </c>
      <c r="J183" s="1">
        <v>8.90702E7</v>
      </c>
      <c r="K183" s="1" t="s">
        <v>240</v>
      </c>
      <c r="L183" s="1" t="s">
        <v>2230</v>
      </c>
      <c r="M183" s="1" t="s">
        <v>2250</v>
      </c>
      <c r="N183" s="1">
        <v>0.0</v>
      </c>
      <c r="O183" s="1" t="s">
        <v>2251</v>
      </c>
      <c r="P183" s="1" t="s">
        <v>4</v>
      </c>
      <c r="Q183" s="1" t="s">
        <v>1001</v>
      </c>
      <c r="R183" s="1" t="s">
        <v>2158</v>
      </c>
      <c r="S183" s="1" t="s">
        <v>2158</v>
      </c>
      <c r="T183" s="1" t="s">
        <v>249</v>
      </c>
      <c r="U183" s="1" t="s">
        <v>575</v>
      </c>
      <c r="V183" s="1" t="s">
        <v>419</v>
      </c>
      <c r="W183" s="1" t="s">
        <v>252</v>
      </c>
      <c r="X183" s="1" t="s">
        <v>2160</v>
      </c>
      <c r="Y183" s="1">
        <v>441.0</v>
      </c>
      <c r="Z183" s="1" t="s">
        <v>1628</v>
      </c>
    </row>
    <row r="184" ht="15.75" customHeight="1">
      <c r="B184" s="1">
        <v>312.0</v>
      </c>
      <c r="C184" s="1" t="s">
        <v>978</v>
      </c>
      <c r="D184" s="1" t="s">
        <v>2152</v>
      </c>
      <c r="E184" s="1" t="s">
        <v>1630</v>
      </c>
      <c r="F184" s="1">
        <v>4.99615450035E13</v>
      </c>
      <c r="G184" s="1">
        <v>9.63959794E8</v>
      </c>
      <c r="H184" s="1">
        <v>52.0</v>
      </c>
      <c r="I184" s="1">
        <v>364.0</v>
      </c>
      <c r="J184" s="1">
        <v>9.113072E7</v>
      </c>
      <c r="K184" s="1" t="s">
        <v>226</v>
      </c>
      <c r="L184" s="1" t="s">
        <v>2155</v>
      </c>
      <c r="M184" s="1" t="s">
        <v>2252</v>
      </c>
      <c r="N184" s="1">
        <v>8000.0</v>
      </c>
      <c r="O184" s="1" t="s">
        <v>2253</v>
      </c>
      <c r="P184" s="1" t="s">
        <v>4</v>
      </c>
      <c r="Q184" s="1" t="s">
        <v>1001</v>
      </c>
      <c r="R184" s="1" t="s">
        <v>2158</v>
      </c>
      <c r="S184" s="1" t="s">
        <v>2158</v>
      </c>
      <c r="T184" s="1" t="s">
        <v>249</v>
      </c>
      <c r="U184" s="1" t="s">
        <v>575</v>
      </c>
      <c r="V184" s="1" t="s">
        <v>375</v>
      </c>
      <c r="W184" s="1" t="s">
        <v>252</v>
      </c>
      <c r="X184" s="1" t="s">
        <v>2160</v>
      </c>
      <c r="Y184" s="1">
        <v>196.0</v>
      </c>
      <c r="Z184" s="1" t="s">
        <v>1637</v>
      </c>
    </row>
    <row r="185" ht="15.75" customHeight="1">
      <c r="B185" s="1">
        <v>313.0</v>
      </c>
      <c r="C185" s="1" t="s">
        <v>978</v>
      </c>
      <c r="D185" s="1" t="s">
        <v>2152</v>
      </c>
      <c r="E185" s="1" t="s">
        <v>2255</v>
      </c>
      <c r="F185" s="1">
        <v>4.9961545002105E13</v>
      </c>
      <c r="G185" s="1">
        <v>9.639597E8</v>
      </c>
      <c r="H185" s="1">
        <v>52.0</v>
      </c>
      <c r="I185" s="1">
        <v>365.0</v>
      </c>
      <c r="J185" s="1">
        <v>9.061E7</v>
      </c>
      <c r="K185" s="1" t="s">
        <v>226</v>
      </c>
      <c r="L185" s="1" t="s">
        <v>2155</v>
      </c>
      <c r="M185" s="1" t="s">
        <v>2207</v>
      </c>
      <c r="N185" s="1">
        <v>5200.0</v>
      </c>
      <c r="O185" s="1" t="s">
        <v>2208</v>
      </c>
      <c r="R185" s="1" t="s">
        <v>2158</v>
      </c>
      <c r="S185" s="1" t="s">
        <v>2158</v>
      </c>
      <c r="T185" s="1" t="s">
        <v>249</v>
      </c>
      <c r="U185" s="1" t="s">
        <v>575</v>
      </c>
      <c r="V185" s="1" t="s">
        <v>400</v>
      </c>
      <c r="W185" s="1" t="s">
        <v>857</v>
      </c>
      <c r="X185" s="1" t="s">
        <v>2160</v>
      </c>
      <c r="Y185" s="1">
        <v>1.0</v>
      </c>
    </row>
    <row r="186" ht="15.75" customHeight="1">
      <c r="B186" s="1">
        <v>314.0</v>
      </c>
      <c r="C186" s="1" t="s">
        <v>978</v>
      </c>
      <c r="D186" s="1" t="s">
        <v>2152</v>
      </c>
      <c r="E186" s="1" t="s">
        <v>2258</v>
      </c>
      <c r="F186" s="1">
        <v>4.9961545005627E13</v>
      </c>
      <c r="G186" s="1">
        <v>9.63959581E8</v>
      </c>
      <c r="H186" s="1">
        <v>52.0</v>
      </c>
      <c r="I186" s="1">
        <v>367.0</v>
      </c>
      <c r="J186" s="1">
        <v>9.1010002E7</v>
      </c>
      <c r="K186" s="1" t="s">
        <v>226</v>
      </c>
      <c r="L186" s="1" t="s">
        <v>2155</v>
      </c>
      <c r="M186" s="1" t="s">
        <v>2259</v>
      </c>
      <c r="N186" s="1">
        <v>2611.0</v>
      </c>
      <c r="O186" s="1" t="s">
        <v>2198</v>
      </c>
      <c r="P186" s="1" t="s">
        <v>4</v>
      </c>
      <c r="Q186" s="1" t="s">
        <v>990</v>
      </c>
      <c r="R186" s="1" t="s">
        <v>2158</v>
      </c>
      <c r="S186" s="1" t="s">
        <v>2158</v>
      </c>
      <c r="T186" s="1" t="s">
        <v>249</v>
      </c>
      <c r="U186" s="1" t="s">
        <v>575</v>
      </c>
      <c r="V186" s="1" t="s">
        <v>375</v>
      </c>
      <c r="W186" s="1" t="s">
        <v>252</v>
      </c>
      <c r="X186" s="1" t="s">
        <v>2160</v>
      </c>
      <c r="Y186" s="1">
        <v>340.0</v>
      </c>
      <c r="Z186" s="1" t="s">
        <v>1647</v>
      </c>
    </row>
    <row r="187" ht="15.75" customHeight="1">
      <c r="B187" s="1">
        <v>315.0</v>
      </c>
      <c r="C187" s="1" t="s">
        <v>978</v>
      </c>
      <c r="D187" s="1" t="s">
        <v>2152</v>
      </c>
      <c r="E187" s="1" t="s">
        <v>2260</v>
      </c>
      <c r="F187" s="1">
        <v>4.9961545000587E13</v>
      </c>
      <c r="G187" s="1">
        <v>9.30506529E8</v>
      </c>
      <c r="H187" s="1">
        <v>52.0</v>
      </c>
      <c r="I187" s="1">
        <v>378.0</v>
      </c>
      <c r="J187" s="1">
        <v>9.6085E7</v>
      </c>
      <c r="K187" s="1" t="s">
        <v>226</v>
      </c>
      <c r="L187" s="1" t="s">
        <v>2261</v>
      </c>
      <c r="M187" s="1" t="s">
        <v>2262</v>
      </c>
      <c r="N187" s="1">
        <v>1526.0</v>
      </c>
      <c r="O187" s="1" t="s">
        <v>2263</v>
      </c>
      <c r="P187" s="1" t="s">
        <v>4</v>
      </c>
      <c r="Q187" s="1" t="s">
        <v>1001</v>
      </c>
      <c r="R187" s="1" t="s">
        <v>2158</v>
      </c>
      <c r="S187" s="1" t="s">
        <v>2158</v>
      </c>
      <c r="T187" s="1" t="s">
        <v>249</v>
      </c>
      <c r="U187" s="1" t="s">
        <v>575</v>
      </c>
      <c r="V187" s="1" t="s">
        <v>375</v>
      </c>
      <c r="W187" s="1" t="s">
        <v>252</v>
      </c>
      <c r="X187" s="1" t="s">
        <v>2160</v>
      </c>
      <c r="Y187" s="1">
        <v>184.0</v>
      </c>
      <c r="Z187" s="1" t="s">
        <v>1657</v>
      </c>
    </row>
    <row r="188" ht="15.75" customHeight="1">
      <c r="B188" s="1">
        <v>316.0</v>
      </c>
      <c r="C188" s="1" t="s">
        <v>978</v>
      </c>
      <c r="D188" s="1" t="s">
        <v>2152</v>
      </c>
      <c r="E188" s="1" t="s">
        <v>1659</v>
      </c>
      <c r="F188" s="1">
        <v>4.9961545001982E13</v>
      </c>
      <c r="G188" s="1">
        <v>5.70379156E8</v>
      </c>
      <c r="H188" s="1">
        <v>52.0</v>
      </c>
      <c r="I188" s="1">
        <v>382.0</v>
      </c>
      <c r="J188" s="1">
        <v>9.403524E7</v>
      </c>
      <c r="K188" s="1" t="s">
        <v>226</v>
      </c>
      <c r="L188" s="1" t="s">
        <v>2184</v>
      </c>
      <c r="M188" s="1" t="s">
        <v>2264</v>
      </c>
      <c r="N188" s="1">
        <v>555.0</v>
      </c>
      <c r="O188" s="1" t="s">
        <v>2265</v>
      </c>
      <c r="P188" s="1" t="s">
        <v>4</v>
      </c>
      <c r="Q188" s="1" t="s">
        <v>990</v>
      </c>
      <c r="R188" s="1" t="s">
        <v>2158</v>
      </c>
      <c r="S188" s="1" t="s">
        <v>2158</v>
      </c>
      <c r="T188" s="1" t="s">
        <v>249</v>
      </c>
      <c r="U188" s="1" t="s">
        <v>575</v>
      </c>
      <c r="V188" s="1" t="s">
        <v>375</v>
      </c>
      <c r="W188" s="1" t="s">
        <v>252</v>
      </c>
      <c r="X188" s="1" t="s">
        <v>2160</v>
      </c>
      <c r="Y188" s="1">
        <v>441.0</v>
      </c>
      <c r="Z188" s="1" t="s">
        <v>1664</v>
      </c>
    </row>
    <row r="189" ht="15.75" customHeight="1">
      <c r="B189" s="1">
        <v>347.0</v>
      </c>
      <c r="C189" s="1" t="s">
        <v>978</v>
      </c>
      <c r="D189" s="1" t="s">
        <v>2152</v>
      </c>
      <c r="E189" s="1" t="s">
        <v>2267</v>
      </c>
      <c r="F189" s="1">
        <v>4.9961545006518E13</v>
      </c>
      <c r="G189" s="1">
        <v>2.62315874E8</v>
      </c>
      <c r="H189" s="1">
        <v>52.0</v>
      </c>
      <c r="I189" s="1">
        <v>391.0</v>
      </c>
      <c r="J189" s="1">
        <v>8.8339005E7</v>
      </c>
      <c r="K189" s="1" t="s">
        <v>240</v>
      </c>
      <c r="L189" s="1" t="s">
        <v>1184</v>
      </c>
      <c r="M189" s="1" t="s">
        <v>2269</v>
      </c>
      <c r="N189" s="1">
        <v>1.0</v>
      </c>
      <c r="O189" s="1" t="s">
        <v>2270</v>
      </c>
      <c r="P189" s="1" t="s">
        <v>4</v>
      </c>
      <c r="Q189" s="1" t="s">
        <v>1001</v>
      </c>
      <c r="R189" s="1" t="s">
        <v>2158</v>
      </c>
      <c r="S189" s="1" t="s">
        <v>2158</v>
      </c>
      <c r="T189" s="1" t="s">
        <v>249</v>
      </c>
      <c r="U189" s="1" t="s">
        <v>575</v>
      </c>
      <c r="V189" s="1" t="s">
        <v>419</v>
      </c>
      <c r="W189" s="1" t="s">
        <v>252</v>
      </c>
      <c r="X189" s="1" t="s">
        <v>2160</v>
      </c>
      <c r="Y189" s="1">
        <v>150.0</v>
      </c>
      <c r="Z189" s="1" t="s">
        <v>1676</v>
      </c>
    </row>
    <row r="190" ht="15.75" customHeight="1">
      <c r="B190" s="1">
        <v>359.0</v>
      </c>
      <c r="C190" s="1" t="s">
        <v>978</v>
      </c>
      <c r="D190" s="1" t="s">
        <v>2243</v>
      </c>
      <c r="E190" s="1" t="s">
        <v>2271</v>
      </c>
      <c r="F190" s="1">
        <v>4.996154500678E13</v>
      </c>
      <c r="G190" s="1" t="s">
        <v>2272</v>
      </c>
      <c r="H190" s="1">
        <v>21.0</v>
      </c>
      <c r="I190" s="1">
        <v>399.0</v>
      </c>
      <c r="J190" s="1">
        <v>9.242036E7</v>
      </c>
      <c r="K190" s="1" t="s">
        <v>226</v>
      </c>
      <c r="L190" s="1" t="s">
        <v>1534</v>
      </c>
      <c r="M190" s="1" t="s">
        <v>2169</v>
      </c>
      <c r="N190" s="1">
        <v>2601.0</v>
      </c>
      <c r="O190" s="1" t="s">
        <v>2273</v>
      </c>
      <c r="R190" s="1" t="s">
        <v>1880</v>
      </c>
      <c r="S190" s="1" t="s">
        <v>1880</v>
      </c>
      <c r="T190" s="1" t="s">
        <v>124</v>
      </c>
      <c r="W190" s="1" t="s">
        <v>252</v>
      </c>
      <c r="X190" s="1" t="s">
        <v>1116</v>
      </c>
    </row>
    <row r="191" ht="15.75" customHeight="1">
      <c r="B191" s="1">
        <v>318.0</v>
      </c>
      <c r="C191" s="1" t="s">
        <v>978</v>
      </c>
      <c r="D191" s="1" t="s">
        <v>2152</v>
      </c>
      <c r="E191" s="1" t="s">
        <v>1681</v>
      </c>
      <c r="F191" s="1">
        <v>4.9961545004302E13</v>
      </c>
      <c r="G191" s="1">
        <v>9.63959549E8</v>
      </c>
      <c r="H191" s="1">
        <v>53.0</v>
      </c>
      <c r="I191" s="1">
        <v>404.0</v>
      </c>
      <c r="J191" s="1">
        <v>9.0020008E7</v>
      </c>
      <c r="K191" s="1" t="s">
        <v>226</v>
      </c>
      <c r="L191" s="1" t="s">
        <v>2155</v>
      </c>
      <c r="M191" s="1" t="s">
        <v>2156</v>
      </c>
      <c r="N191" s="1">
        <v>1342.0</v>
      </c>
      <c r="O191" s="1" t="s">
        <v>2157</v>
      </c>
      <c r="P191" s="1" t="s">
        <v>988</v>
      </c>
      <c r="Q191" s="1" t="s">
        <v>990</v>
      </c>
      <c r="R191" s="1" t="s">
        <v>2275</v>
      </c>
      <c r="S191" s="1" t="s">
        <v>2275</v>
      </c>
      <c r="T191" s="1" t="s">
        <v>249</v>
      </c>
      <c r="U191" s="1" t="s">
        <v>575</v>
      </c>
      <c r="V191" s="1" t="s">
        <v>477</v>
      </c>
      <c r="W191" s="1" t="s">
        <v>252</v>
      </c>
      <c r="X191" s="1" t="s">
        <v>2160</v>
      </c>
      <c r="Y191" s="1">
        <v>320.0</v>
      </c>
      <c r="Z191" s="1" t="s">
        <v>1688</v>
      </c>
    </row>
    <row r="192" ht="15.75" customHeight="1">
      <c r="B192" s="1">
        <v>319.0</v>
      </c>
      <c r="C192" s="1" t="s">
        <v>978</v>
      </c>
      <c r="D192" s="1" t="s">
        <v>2152</v>
      </c>
      <c r="E192" s="1" t="s">
        <v>2277</v>
      </c>
      <c r="F192" s="1">
        <v>4.996154500406E13</v>
      </c>
      <c r="G192" s="1">
        <v>1.000335884E9</v>
      </c>
      <c r="H192" s="1">
        <v>53.0</v>
      </c>
      <c r="I192" s="1">
        <v>411.0</v>
      </c>
      <c r="J192" s="1">
        <v>9.620002E7</v>
      </c>
      <c r="K192" s="1" t="s">
        <v>226</v>
      </c>
      <c r="L192" s="1" t="s">
        <v>2278</v>
      </c>
      <c r="M192" s="1" t="s">
        <v>39</v>
      </c>
      <c r="N192" s="1">
        <v>101.0</v>
      </c>
      <c r="O192" s="1" t="s">
        <v>2279</v>
      </c>
      <c r="P192" s="1" t="s">
        <v>988</v>
      </c>
      <c r="Q192" s="1" t="s">
        <v>1001</v>
      </c>
      <c r="R192" s="1" t="s">
        <v>2275</v>
      </c>
      <c r="S192" s="1" t="s">
        <v>2275</v>
      </c>
      <c r="T192" s="1" t="s">
        <v>249</v>
      </c>
      <c r="U192" s="1" t="s">
        <v>575</v>
      </c>
      <c r="V192" s="1" t="s">
        <v>375</v>
      </c>
      <c r="W192" s="1" t="s">
        <v>252</v>
      </c>
      <c r="X192" s="1" t="s">
        <v>2160</v>
      </c>
      <c r="Y192" s="1">
        <v>354.0</v>
      </c>
      <c r="Z192" s="1" t="s">
        <v>1699</v>
      </c>
    </row>
    <row r="193" ht="15.75" customHeight="1">
      <c r="B193" s="1">
        <v>320.0</v>
      </c>
      <c r="C193" s="1" t="s">
        <v>978</v>
      </c>
      <c r="D193" s="1" t="s">
        <v>2152</v>
      </c>
      <c r="E193" s="1" t="s">
        <v>2280</v>
      </c>
      <c r="F193" s="1">
        <v>4.9961545005384E13</v>
      </c>
      <c r="G193" s="1">
        <v>9.6395953E8</v>
      </c>
      <c r="H193" s="1">
        <v>53.0</v>
      </c>
      <c r="I193" s="1">
        <v>413.0</v>
      </c>
      <c r="J193" s="1">
        <v>9.0020151E7</v>
      </c>
      <c r="K193" s="1" t="s">
        <v>226</v>
      </c>
      <c r="L193" s="1" t="s">
        <v>2155</v>
      </c>
      <c r="M193" s="1" t="s">
        <v>2156</v>
      </c>
      <c r="N193" s="1">
        <v>143.0</v>
      </c>
      <c r="O193" s="1" t="s">
        <v>2283</v>
      </c>
      <c r="P193" s="1" t="s">
        <v>988</v>
      </c>
      <c r="Q193" s="1" t="s">
        <v>1001</v>
      </c>
      <c r="R193" s="1" t="s">
        <v>2275</v>
      </c>
      <c r="S193" s="1" t="s">
        <v>2275</v>
      </c>
      <c r="T193" s="1" t="s">
        <v>249</v>
      </c>
      <c r="U193" s="1" t="s">
        <v>575</v>
      </c>
      <c r="V193" s="1" t="s">
        <v>477</v>
      </c>
      <c r="W193" s="1" t="s">
        <v>252</v>
      </c>
      <c r="X193" s="1" t="s">
        <v>2160</v>
      </c>
      <c r="Y193" s="1">
        <v>161.0</v>
      </c>
      <c r="Z193" s="1" t="s">
        <v>1708</v>
      </c>
    </row>
    <row r="194" ht="15.75" customHeight="1">
      <c r="B194" s="1">
        <v>321.0</v>
      </c>
      <c r="C194" s="1" t="s">
        <v>978</v>
      </c>
      <c r="D194" s="1" t="s">
        <v>2152</v>
      </c>
      <c r="E194" s="1" t="s">
        <v>2285</v>
      </c>
      <c r="F194" s="1">
        <v>4.996154500414E13</v>
      </c>
      <c r="G194" s="1">
        <v>1.770249602E9</v>
      </c>
      <c r="H194" s="1">
        <v>53.0</v>
      </c>
      <c r="I194" s="1">
        <v>414.0</v>
      </c>
      <c r="J194" s="1">
        <v>9.4910001E7</v>
      </c>
      <c r="K194" s="1" t="s">
        <v>226</v>
      </c>
      <c r="L194" s="1" t="s">
        <v>2181</v>
      </c>
      <c r="M194" s="1" t="s">
        <v>2286</v>
      </c>
      <c r="N194" s="1">
        <v>1077.0</v>
      </c>
      <c r="O194" s="1" t="s">
        <v>2183</v>
      </c>
      <c r="P194" s="1" t="s">
        <v>988</v>
      </c>
      <c r="Q194" s="1" t="s">
        <v>1001</v>
      </c>
      <c r="R194" s="1" t="s">
        <v>2275</v>
      </c>
      <c r="S194" s="1" t="s">
        <v>2275</v>
      </c>
      <c r="T194" s="1" t="s">
        <v>249</v>
      </c>
      <c r="U194" s="1" t="s">
        <v>575</v>
      </c>
      <c r="V194" s="1" t="s">
        <v>477</v>
      </c>
      <c r="W194" s="1" t="s">
        <v>252</v>
      </c>
      <c r="X194" s="1" t="s">
        <v>2160</v>
      </c>
      <c r="Y194" s="1">
        <v>183.0</v>
      </c>
      <c r="Z194" s="1" t="s">
        <v>1717</v>
      </c>
    </row>
    <row r="195" ht="15.75" customHeight="1">
      <c r="B195" s="1">
        <v>322.0</v>
      </c>
      <c r="C195" s="1" t="s">
        <v>978</v>
      </c>
      <c r="D195" s="1" t="s">
        <v>2152</v>
      </c>
      <c r="E195" s="1" t="s">
        <v>2287</v>
      </c>
      <c r="F195" s="1">
        <v>4.9961545000749E13</v>
      </c>
      <c r="G195" s="1">
        <v>9.63959492E8</v>
      </c>
      <c r="H195" s="1">
        <v>53.0</v>
      </c>
      <c r="I195" s="1">
        <v>415.0</v>
      </c>
      <c r="J195" s="1">
        <v>9.0160002E7</v>
      </c>
      <c r="K195" s="1" t="s">
        <v>226</v>
      </c>
      <c r="L195" s="1" t="s">
        <v>2155</v>
      </c>
      <c r="M195" s="1" t="s">
        <v>2290</v>
      </c>
      <c r="N195" s="1">
        <v>855.0</v>
      </c>
      <c r="O195" s="1" t="s">
        <v>2291</v>
      </c>
      <c r="P195" s="1" t="s">
        <v>988</v>
      </c>
      <c r="Q195" s="1" t="s">
        <v>1001</v>
      </c>
      <c r="R195" s="1" t="s">
        <v>2275</v>
      </c>
      <c r="S195" s="1" t="s">
        <v>2275</v>
      </c>
      <c r="T195" s="1" t="s">
        <v>249</v>
      </c>
      <c r="U195" s="1" t="s">
        <v>575</v>
      </c>
      <c r="V195" s="1" t="s">
        <v>477</v>
      </c>
      <c r="W195" s="1" t="s">
        <v>252</v>
      </c>
      <c r="X195" s="1" t="s">
        <v>2160</v>
      </c>
      <c r="Y195" s="1">
        <v>161.0</v>
      </c>
      <c r="Z195" s="1" t="s">
        <v>1728</v>
      </c>
    </row>
    <row r="196" ht="15.75" customHeight="1">
      <c r="B196" s="1">
        <v>323.0</v>
      </c>
      <c r="C196" s="1" t="s">
        <v>978</v>
      </c>
      <c r="D196" s="1" t="s">
        <v>2152</v>
      </c>
      <c r="E196" s="1" t="s">
        <v>2292</v>
      </c>
      <c r="F196" s="1">
        <v>4.9961545003098E13</v>
      </c>
      <c r="G196" s="1">
        <v>5.7037918E8</v>
      </c>
      <c r="H196" s="1">
        <v>53.0</v>
      </c>
      <c r="I196" s="1">
        <v>417.0</v>
      </c>
      <c r="J196" s="1">
        <v>9.401E7</v>
      </c>
      <c r="K196" s="1" t="s">
        <v>226</v>
      </c>
      <c r="L196" s="1" t="s">
        <v>2184</v>
      </c>
      <c r="M196" s="1" t="s">
        <v>39</v>
      </c>
      <c r="N196" s="1">
        <v>1378.0</v>
      </c>
      <c r="O196" s="1" t="s">
        <v>2185</v>
      </c>
      <c r="P196" s="1" t="s">
        <v>988</v>
      </c>
      <c r="Q196" s="1" t="s">
        <v>1001</v>
      </c>
      <c r="R196" s="1" t="s">
        <v>2275</v>
      </c>
      <c r="S196" s="1" t="s">
        <v>2275</v>
      </c>
      <c r="T196" s="1" t="s">
        <v>249</v>
      </c>
      <c r="U196" s="1" t="s">
        <v>575</v>
      </c>
      <c r="V196" s="1" t="s">
        <v>477</v>
      </c>
      <c r="W196" s="1" t="s">
        <v>252</v>
      </c>
      <c r="X196" s="1" t="s">
        <v>2160</v>
      </c>
      <c r="Y196" s="1">
        <v>203.0</v>
      </c>
      <c r="Z196" s="1" t="s">
        <v>1734</v>
      </c>
    </row>
    <row r="197" ht="15.75" customHeight="1">
      <c r="B197" s="1">
        <v>324.0</v>
      </c>
      <c r="C197" s="1" t="s">
        <v>978</v>
      </c>
      <c r="D197" s="1" t="s">
        <v>2152</v>
      </c>
      <c r="E197" s="1" t="s">
        <v>1736</v>
      </c>
      <c r="F197" s="1">
        <v>4.9961545002792E13</v>
      </c>
      <c r="G197" s="1">
        <v>9.6395962E8</v>
      </c>
      <c r="H197" s="1">
        <v>53.0</v>
      </c>
      <c r="I197" s="1">
        <v>419.0</v>
      </c>
      <c r="J197" s="1">
        <v>9.13499E7</v>
      </c>
      <c r="K197" s="1" t="s">
        <v>226</v>
      </c>
      <c r="L197" s="1" t="s">
        <v>2155</v>
      </c>
      <c r="M197" s="1" t="s">
        <v>2174</v>
      </c>
      <c r="N197" s="1">
        <v>1800.0</v>
      </c>
      <c r="O197" s="1" t="s">
        <v>2175</v>
      </c>
      <c r="P197" s="1" t="s">
        <v>4</v>
      </c>
      <c r="Q197" s="1" t="s">
        <v>990</v>
      </c>
      <c r="R197" s="1" t="s">
        <v>2275</v>
      </c>
      <c r="S197" s="1" t="s">
        <v>2275</v>
      </c>
      <c r="T197" s="1" t="s">
        <v>249</v>
      </c>
      <c r="U197" s="1" t="s">
        <v>575</v>
      </c>
      <c r="V197" s="1" t="s">
        <v>477</v>
      </c>
      <c r="W197" s="1" t="s">
        <v>252</v>
      </c>
      <c r="X197" s="1" t="s">
        <v>2160</v>
      </c>
      <c r="Y197" s="1">
        <v>215.0</v>
      </c>
      <c r="Z197" s="1" t="s">
        <v>1744</v>
      </c>
    </row>
    <row r="198" ht="15.75" customHeight="1">
      <c r="B198" s="1">
        <v>325.0</v>
      </c>
      <c r="C198" s="1" t="s">
        <v>978</v>
      </c>
      <c r="D198" s="1" t="s">
        <v>2152</v>
      </c>
      <c r="E198" s="1" t="s">
        <v>1750</v>
      </c>
      <c r="F198" s="1">
        <v>4.9961545005708E13</v>
      </c>
      <c r="G198" s="1">
        <v>2.40568168E8</v>
      </c>
      <c r="H198" s="1">
        <v>53.0</v>
      </c>
      <c r="I198" s="1">
        <v>421.0</v>
      </c>
      <c r="J198" s="1">
        <v>9.2200654E7</v>
      </c>
      <c r="K198" s="1" t="s">
        <v>226</v>
      </c>
      <c r="L198" s="1" t="s">
        <v>1534</v>
      </c>
      <c r="M198" s="1" t="s">
        <v>2203</v>
      </c>
      <c r="N198" s="1">
        <v>6750.0</v>
      </c>
      <c r="O198" s="1" t="s">
        <v>2204</v>
      </c>
      <c r="P198" s="1" t="s">
        <v>4</v>
      </c>
      <c r="Q198" s="1" t="s">
        <v>1001</v>
      </c>
      <c r="R198" s="1" t="s">
        <v>2275</v>
      </c>
      <c r="S198" s="1" t="s">
        <v>2275</v>
      </c>
      <c r="T198" s="1" t="s">
        <v>249</v>
      </c>
      <c r="U198" s="1" t="s">
        <v>575</v>
      </c>
      <c r="V198" s="1" t="s">
        <v>477</v>
      </c>
      <c r="W198" s="1" t="s">
        <v>252</v>
      </c>
      <c r="X198" s="1" t="s">
        <v>2160</v>
      </c>
      <c r="Y198" s="1">
        <v>224.0</v>
      </c>
      <c r="Z198" s="1" t="s">
        <v>1753</v>
      </c>
    </row>
    <row r="199" ht="15.75" customHeight="1">
      <c r="B199" s="1">
        <v>326.0</v>
      </c>
      <c r="C199" s="1" t="s">
        <v>978</v>
      </c>
      <c r="D199" s="1" t="s">
        <v>2152</v>
      </c>
      <c r="E199" s="1" t="s">
        <v>2295</v>
      </c>
      <c r="F199" s="1">
        <v>4.9961545001478E13</v>
      </c>
      <c r="G199" s="1">
        <v>9.6395967E8</v>
      </c>
      <c r="H199" s="1">
        <v>53.0</v>
      </c>
      <c r="I199" s="1">
        <v>422.0</v>
      </c>
      <c r="J199" s="1">
        <v>9.101E7</v>
      </c>
      <c r="K199" s="1" t="s">
        <v>226</v>
      </c>
      <c r="L199" s="1" t="s">
        <v>2155</v>
      </c>
      <c r="M199" s="1" t="s">
        <v>2296</v>
      </c>
      <c r="N199" s="1">
        <v>164.0</v>
      </c>
      <c r="O199" s="1" t="s">
        <v>2198</v>
      </c>
      <c r="P199" s="1" t="s">
        <v>4</v>
      </c>
      <c r="Q199" s="1" t="s">
        <v>1001</v>
      </c>
      <c r="R199" s="1" t="s">
        <v>2275</v>
      </c>
      <c r="S199" s="1" t="s">
        <v>2275</v>
      </c>
      <c r="T199" s="1" t="s">
        <v>249</v>
      </c>
      <c r="U199" s="1" t="s">
        <v>575</v>
      </c>
      <c r="V199" s="1" t="s">
        <v>477</v>
      </c>
      <c r="W199" s="1" t="s">
        <v>252</v>
      </c>
      <c r="X199" s="1" t="s">
        <v>2160</v>
      </c>
      <c r="Y199" s="1">
        <v>201.0</v>
      </c>
      <c r="Z199" s="1" t="s">
        <v>1763</v>
      </c>
    </row>
    <row r="200" ht="15.75" customHeight="1">
      <c r="B200" s="1">
        <v>327.0</v>
      </c>
      <c r="C200" s="1" t="s">
        <v>978</v>
      </c>
      <c r="D200" s="1" t="s">
        <v>2152</v>
      </c>
      <c r="E200" s="1" t="s">
        <v>1766</v>
      </c>
      <c r="F200" s="1">
        <v>4.996154500244E13</v>
      </c>
      <c r="G200" s="1">
        <v>9.63959697E8</v>
      </c>
      <c r="H200" s="1">
        <v>53.0</v>
      </c>
      <c r="I200" s="1">
        <v>423.0</v>
      </c>
      <c r="J200" s="1">
        <v>9.1010002E7</v>
      </c>
      <c r="K200" s="1" t="s">
        <v>226</v>
      </c>
      <c r="L200" s="1" t="s">
        <v>2155</v>
      </c>
      <c r="M200" s="1" t="s">
        <v>2259</v>
      </c>
      <c r="N200" s="1">
        <v>2312.0</v>
      </c>
      <c r="O200" s="1" t="s">
        <v>2198</v>
      </c>
      <c r="P200" s="1" t="s">
        <v>988</v>
      </c>
      <c r="Q200" s="1" t="s">
        <v>1001</v>
      </c>
      <c r="R200" s="1" t="s">
        <v>2275</v>
      </c>
      <c r="S200" s="1" t="s">
        <v>2275</v>
      </c>
      <c r="T200" s="1" t="s">
        <v>249</v>
      </c>
      <c r="U200" s="1" t="s">
        <v>575</v>
      </c>
      <c r="V200" s="1" t="s">
        <v>477</v>
      </c>
      <c r="W200" s="1" t="s">
        <v>252</v>
      </c>
      <c r="X200" s="1" t="s">
        <v>2160</v>
      </c>
      <c r="Y200" s="1">
        <v>136.0</v>
      </c>
      <c r="Z200" s="1" t="s">
        <v>1773</v>
      </c>
    </row>
    <row r="201" ht="15.75" customHeight="1">
      <c r="B201" s="1">
        <v>328.0</v>
      </c>
      <c r="C201" s="1" t="s">
        <v>978</v>
      </c>
      <c r="D201" s="1" t="s">
        <v>2152</v>
      </c>
      <c r="E201" s="1" t="s">
        <v>2300</v>
      </c>
      <c r="F201" s="1">
        <v>4.9961545005899E13</v>
      </c>
      <c r="G201" s="1">
        <v>1.65020273E9</v>
      </c>
      <c r="H201" s="1">
        <v>53.0</v>
      </c>
      <c r="I201" s="1">
        <v>424.0</v>
      </c>
      <c r="J201" s="1">
        <v>9.4810001E7</v>
      </c>
      <c r="K201" s="1" t="s">
        <v>226</v>
      </c>
      <c r="L201" s="1" t="s">
        <v>2302</v>
      </c>
      <c r="M201" s="1" t="s">
        <v>2090</v>
      </c>
      <c r="N201" s="1">
        <v>2030.0</v>
      </c>
      <c r="O201" s="1" t="s">
        <v>2304</v>
      </c>
      <c r="P201" s="1" t="s">
        <v>988</v>
      </c>
      <c r="Q201" s="1" t="s">
        <v>1001</v>
      </c>
      <c r="R201" s="1" t="s">
        <v>2275</v>
      </c>
      <c r="S201" s="1" t="s">
        <v>2275</v>
      </c>
      <c r="T201" s="1" t="s">
        <v>249</v>
      </c>
      <c r="U201" s="1" t="s">
        <v>575</v>
      </c>
      <c r="V201" s="1" t="s">
        <v>477</v>
      </c>
      <c r="W201" s="1" t="s">
        <v>252</v>
      </c>
      <c r="X201" s="1" t="s">
        <v>2160</v>
      </c>
      <c r="Y201" s="1">
        <v>264.0</v>
      </c>
      <c r="Z201" s="1" t="s">
        <v>1783</v>
      </c>
    </row>
    <row r="202" ht="15.75" customHeight="1">
      <c r="B202" s="1">
        <v>329.0</v>
      </c>
      <c r="C202" s="1" t="s">
        <v>978</v>
      </c>
      <c r="D202" s="1" t="s">
        <v>2152</v>
      </c>
      <c r="E202" s="1" t="s">
        <v>1785</v>
      </c>
      <c r="F202" s="1">
        <v>4.9961545004221E13</v>
      </c>
      <c r="G202" s="1">
        <v>9.63959654E8</v>
      </c>
      <c r="H202" s="1">
        <v>53.0</v>
      </c>
      <c r="I202" s="1">
        <v>426.0</v>
      </c>
      <c r="J202" s="1">
        <v>9.1910001E7</v>
      </c>
      <c r="K202" s="1" t="s">
        <v>226</v>
      </c>
      <c r="L202" s="1" t="s">
        <v>2155</v>
      </c>
      <c r="M202" s="1" t="s">
        <v>2306</v>
      </c>
      <c r="N202" s="1">
        <v>2783.0</v>
      </c>
      <c r="O202" s="1" t="s">
        <v>2307</v>
      </c>
      <c r="P202" s="1" t="s">
        <v>988</v>
      </c>
      <c r="Q202" s="1" t="s">
        <v>1001</v>
      </c>
      <c r="R202" s="1" t="s">
        <v>2275</v>
      </c>
      <c r="S202" s="1" t="s">
        <v>2275</v>
      </c>
      <c r="T202" s="1" t="s">
        <v>249</v>
      </c>
      <c r="U202" s="1" t="s">
        <v>575</v>
      </c>
      <c r="V202" s="1" t="s">
        <v>477</v>
      </c>
      <c r="W202" s="1" t="s">
        <v>252</v>
      </c>
      <c r="X202" s="1" t="s">
        <v>2160</v>
      </c>
      <c r="Y202" s="1">
        <v>100.0</v>
      </c>
      <c r="Z202" s="1" t="s">
        <v>1795</v>
      </c>
    </row>
    <row r="203" ht="15.75" customHeight="1">
      <c r="B203" s="1">
        <v>330.0</v>
      </c>
      <c r="C203" s="1" t="s">
        <v>978</v>
      </c>
      <c r="D203" s="1" t="s">
        <v>2152</v>
      </c>
      <c r="E203" s="1" t="s">
        <v>2308</v>
      </c>
      <c r="F203" s="1">
        <v>4.9961545000404E13</v>
      </c>
      <c r="G203" s="1">
        <v>9.63959638E8</v>
      </c>
      <c r="H203" s="1">
        <v>53.0</v>
      </c>
      <c r="I203" s="1">
        <v>427.0</v>
      </c>
      <c r="J203" s="1">
        <v>9.153001E7</v>
      </c>
      <c r="K203" s="1" t="s">
        <v>226</v>
      </c>
      <c r="L203" s="1" t="s">
        <v>2155</v>
      </c>
      <c r="M203" s="1" t="s">
        <v>2309</v>
      </c>
      <c r="N203" s="1">
        <v>111.0</v>
      </c>
      <c r="O203" s="1" t="s">
        <v>2310</v>
      </c>
      <c r="P203" s="1" t="s">
        <v>4</v>
      </c>
      <c r="Q203" s="1" t="s">
        <v>990</v>
      </c>
      <c r="R203" s="1" t="s">
        <v>2275</v>
      </c>
      <c r="S203" s="1" t="s">
        <v>2275</v>
      </c>
      <c r="T203" s="1" t="s">
        <v>249</v>
      </c>
      <c r="U203" s="1" t="s">
        <v>575</v>
      </c>
      <c r="V203" s="1" t="s">
        <v>477</v>
      </c>
      <c r="W203" s="1" t="s">
        <v>252</v>
      </c>
      <c r="X203" s="1" t="s">
        <v>2160</v>
      </c>
      <c r="Y203" s="1">
        <v>248.0</v>
      </c>
      <c r="Z203" s="1" t="s">
        <v>1805</v>
      </c>
    </row>
    <row r="204" ht="15.75" customHeight="1">
      <c r="B204" s="1">
        <v>331.0</v>
      </c>
      <c r="C204" s="1" t="s">
        <v>978</v>
      </c>
      <c r="D204" s="1" t="s">
        <v>2152</v>
      </c>
      <c r="E204" s="1" t="s">
        <v>2314</v>
      </c>
      <c r="F204" s="1">
        <v>4.9961545004655E13</v>
      </c>
      <c r="G204" s="1" t="s">
        <v>2315</v>
      </c>
      <c r="H204" s="1">
        <v>53.0</v>
      </c>
      <c r="I204" s="1">
        <v>428.0</v>
      </c>
      <c r="J204" s="1">
        <v>9.0520003E7</v>
      </c>
      <c r="K204" s="1" t="s">
        <v>226</v>
      </c>
      <c r="L204" s="1" t="s">
        <v>2155</v>
      </c>
      <c r="M204" s="1" t="s">
        <v>2174</v>
      </c>
      <c r="N204" s="1">
        <v>2343.0</v>
      </c>
      <c r="O204" s="1" t="s">
        <v>2316</v>
      </c>
      <c r="P204" s="1" t="s">
        <v>4</v>
      </c>
      <c r="Q204" s="1" t="s">
        <v>1001</v>
      </c>
      <c r="R204" s="1" t="s">
        <v>2275</v>
      </c>
      <c r="S204" s="1" t="s">
        <v>2275</v>
      </c>
      <c r="T204" s="1" t="s">
        <v>249</v>
      </c>
      <c r="U204" s="1" t="s">
        <v>575</v>
      </c>
      <c r="V204" s="1" t="s">
        <v>477</v>
      </c>
      <c r="W204" s="1" t="s">
        <v>252</v>
      </c>
      <c r="X204" s="1" t="s">
        <v>2160</v>
      </c>
      <c r="Y204" s="1">
        <v>163.0</v>
      </c>
      <c r="Z204" s="1" t="s">
        <v>1814</v>
      </c>
    </row>
    <row r="205" ht="15.75" customHeight="1">
      <c r="B205" s="1">
        <v>332.0</v>
      </c>
      <c r="C205" s="1" t="s">
        <v>978</v>
      </c>
      <c r="D205" s="1" t="s">
        <v>2152</v>
      </c>
      <c r="E205" s="1" t="s">
        <v>2317</v>
      </c>
      <c r="F205" s="1">
        <v>4.9961545005112E13</v>
      </c>
      <c r="G205" s="1">
        <v>9.63959603E8</v>
      </c>
      <c r="H205" s="1">
        <v>53.0</v>
      </c>
      <c r="I205" s="1">
        <v>430.0</v>
      </c>
      <c r="J205" s="1">
        <v>9.0560003E7</v>
      </c>
      <c r="K205" s="1" t="s">
        <v>226</v>
      </c>
      <c r="L205" s="1" t="s">
        <v>2155</v>
      </c>
      <c r="M205" s="1" t="s">
        <v>2318</v>
      </c>
      <c r="N205" s="1">
        <v>545.0</v>
      </c>
      <c r="O205" s="1" t="s">
        <v>2319</v>
      </c>
      <c r="P205" s="1" t="s">
        <v>4</v>
      </c>
      <c r="Q205" s="1" t="s">
        <v>990</v>
      </c>
      <c r="R205" s="1" t="s">
        <v>2275</v>
      </c>
      <c r="S205" s="1" t="s">
        <v>2275</v>
      </c>
      <c r="T205" s="1" t="s">
        <v>249</v>
      </c>
      <c r="U205" s="1" t="s">
        <v>575</v>
      </c>
      <c r="V205" s="1" t="s">
        <v>477</v>
      </c>
      <c r="W205" s="1" t="s">
        <v>252</v>
      </c>
      <c r="X205" s="1" t="s">
        <v>2160</v>
      </c>
      <c r="Y205" s="1">
        <v>380.0</v>
      </c>
      <c r="Z205" s="1" t="s">
        <v>1821</v>
      </c>
    </row>
    <row r="206" ht="15.75" customHeight="1">
      <c r="B206" s="1">
        <v>333.0</v>
      </c>
      <c r="C206" s="1" t="s">
        <v>978</v>
      </c>
      <c r="D206" s="1" t="s">
        <v>2152</v>
      </c>
      <c r="E206" s="1" t="s">
        <v>2323</v>
      </c>
      <c r="F206" s="1">
        <v>4.9961545004817E13</v>
      </c>
      <c r="G206" s="1">
        <v>2.4056815E8</v>
      </c>
      <c r="H206" s="1">
        <v>53.0</v>
      </c>
      <c r="I206" s="1">
        <v>431.0</v>
      </c>
      <c r="J206" s="1">
        <v>9.201026E7</v>
      </c>
      <c r="K206" s="1" t="s">
        <v>226</v>
      </c>
      <c r="L206" s="1" t="s">
        <v>1534</v>
      </c>
      <c r="M206" s="1" t="s">
        <v>39</v>
      </c>
      <c r="N206" s="1">
        <v>282.0</v>
      </c>
      <c r="O206" s="1" t="s">
        <v>2103</v>
      </c>
      <c r="P206" s="1" t="s">
        <v>988</v>
      </c>
      <c r="Q206" s="1" t="s">
        <v>1001</v>
      </c>
      <c r="R206" s="1" t="s">
        <v>2275</v>
      </c>
      <c r="S206" s="1" t="s">
        <v>2275</v>
      </c>
      <c r="T206" s="1" t="s">
        <v>249</v>
      </c>
      <c r="U206" s="1" t="s">
        <v>575</v>
      </c>
      <c r="V206" s="1" t="s">
        <v>477</v>
      </c>
      <c r="W206" s="1" t="s">
        <v>252</v>
      </c>
      <c r="X206" s="1" t="s">
        <v>2160</v>
      </c>
      <c r="Y206" s="1">
        <v>330.0</v>
      </c>
      <c r="Z206" s="1" t="s">
        <v>1828</v>
      </c>
    </row>
    <row r="207" ht="15.75" customHeight="1">
      <c r="B207" s="1">
        <v>334.0</v>
      </c>
      <c r="C207" s="1" t="s">
        <v>978</v>
      </c>
      <c r="D207" s="1" t="s">
        <v>2152</v>
      </c>
      <c r="E207" s="1" t="s">
        <v>2324</v>
      </c>
      <c r="F207" s="1">
        <v>4.9961545003845E13</v>
      </c>
      <c r="G207" s="1">
        <v>1.770249599E9</v>
      </c>
      <c r="H207" s="1">
        <v>53.0</v>
      </c>
      <c r="I207" s="1">
        <v>432.0</v>
      </c>
      <c r="J207" s="1">
        <v>9.4950001E7</v>
      </c>
      <c r="K207" s="1" t="s">
        <v>226</v>
      </c>
      <c r="L207" s="1" t="s">
        <v>2181</v>
      </c>
      <c r="M207" s="1" t="s">
        <v>2328</v>
      </c>
      <c r="N207" s="1">
        <v>4001.0</v>
      </c>
      <c r="O207" s="1" t="s">
        <v>2183</v>
      </c>
      <c r="P207" s="1" t="s">
        <v>4</v>
      </c>
      <c r="Q207" s="1" t="s">
        <v>1001</v>
      </c>
      <c r="R207" s="1" t="s">
        <v>2275</v>
      </c>
      <c r="S207" s="1" t="s">
        <v>2275</v>
      </c>
      <c r="T207" s="1" t="s">
        <v>249</v>
      </c>
      <c r="U207" s="1" t="s">
        <v>575</v>
      </c>
      <c r="V207" s="1" t="s">
        <v>477</v>
      </c>
      <c r="W207" s="1" t="s">
        <v>252</v>
      </c>
      <c r="X207" s="1" t="s">
        <v>2160</v>
      </c>
      <c r="Y207" s="1">
        <v>241.0</v>
      </c>
      <c r="Z207" s="1" t="s">
        <v>1838</v>
      </c>
    </row>
    <row r="208" ht="15.75" customHeight="1">
      <c r="B208" s="1">
        <v>335.0</v>
      </c>
      <c r="C208" s="1" t="s">
        <v>978</v>
      </c>
      <c r="D208" s="1" t="s">
        <v>2152</v>
      </c>
      <c r="E208" s="1" t="s">
        <v>2329</v>
      </c>
      <c r="F208" s="1">
        <v>4.9961545001559E13</v>
      </c>
      <c r="G208" s="1">
        <v>1.320176868E9</v>
      </c>
      <c r="H208" s="1">
        <v>53.0</v>
      </c>
      <c r="I208" s="1">
        <v>434.0</v>
      </c>
      <c r="J208" s="1">
        <v>9.321024E7</v>
      </c>
      <c r="K208" s="1" t="s">
        <v>226</v>
      </c>
      <c r="L208" s="1" t="s">
        <v>2141</v>
      </c>
      <c r="M208" s="1" t="s">
        <v>2330</v>
      </c>
      <c r="N208" s="1">
        <v>2022.0</v>
      </c>
      <c r="O208" s="1" t="s">
        <v>2331</v>
      </c>
      <c r="P208" s="1" t="s">
        <v>988</v>
      </c>
      <c r="Q208" s="1" t="s">
        <v>1001</v>
      </c>
      <c r="R208" s="1" t="s">
        <v>2275</v>
      </c>
      <c r="S208" s="1" t="s">
        <v>2275</v>
      </c>
      <c r="T208" s="1" t="s">
        <v>249</v>
      </c>
      <c r="U208" s="1" t="s">
        <v>575</v>
      </c>
      <c r="V208" s="1" t="s">
        <v>477</v>
      </c>
      <c r="W208" s="1" t="s">
        <v>252</v>
      </c>
      <c r="X208" s="1" t="s">
        <v>2160</v>
      </c>
      <c r="Y208" s="1">
        <v>167.0</v>
      </c>
      <c r="Z208" s="1" t="s">
        <v>1846</v>
      </c>
    </row>
    <row r="209" ht="15.75" customHeight="1">
      <c r="B209" s="1">
        <v>336.0</v>
      </c>
      <c r="C209" s="1" t="s">
        <v>978</v>
      </c>
      <c r="D209" s="1" t="s">
        <v>2152</v>
      </c>
      <c r="E209" s="1" t="s">
        <v>2334</v>
      </c>
      <c r="F209" s="1">
        <v>4.996154500325E13</v>
      </c>
      <c r="G209" s="1">
        <v>1.590269184E9</v>
      </c>
      <c r="H209" s="1">
        <v>53.0</v>
      </c>
      <c r="I209" s="1">
        <v>436.0</v>
      </c>
      <c r="J209" s="1">
        <v>9.441005E7</v>
      </c>
      <c r="K209" s="1" t="s">
        <v>226</v>
      </c>
      <c r="L209" s="1" t="s">
        <v>2335</v>
      </c>
      <c r="M209" s="1" t="s">
        <v>39</v>
      </c>
      <c r="N209" s="1">
        <v>18.0</v>
      </c>
      <c r="O209" s="1" t="s">
        <v>2336</v>
      </c>
      <c r="P209" s="1" t="s">
        <v>988</v>
      </c>
      <c r="Q209" s="1" t="s">
        <v>990</v>
      </c>
      <c r="R209" s="1" t="s">
        <v>2275</v>
      </c>
      <c r="S209" s="1" t="s">
        <v>2275</v>
      </c>
      <c r="T209" s="1" t="s">
        <v>249</v>
      </c>
      <c r="U209" s="1" t="s">
        <v>575</v>
      </c>
      <c r="V209" s="1" t="s">
        <v>477</v>
      </c>
      <c r="W209" s="1" t="s">
        <v>252</v>
      </c>
      <c r="X209" s="1" t="s">
        <v>2160</v>
      </c>
      <c r="Y209" s="1">
        <v>270.0</v>
      </c>
      <c r="Z209" s="1" t="s">
        <v>1855</v>
      </c>
    </row>
    <row r="210" ht="15.75" customHeight="1">
      <c r="B210" s="1">
        <v>337.0</v>
      </c>
      <c r="C210" s="1" t="s">
        <v>978</v>
      </c>
      <c r="D210" s="1" t="s">
        <v>2152</v>
      </c>
      <c r="E210" s="1" t="s">
        <v>2337</v>
      </c>
      <c r="F210" s="1">
        <v>4.9961545001125E13</v>
      </c>
      <c r="G210" s="1">
        <v>9.63959735E8</v>
      </c>
      <c r="H210" s="1">
        <v>53.0</v>
      </c>
      <c r="I210" s="1">
        <v>439.0</v>
      </c>
      <c r="J210" s="1">
        <v>9.1110581E7</v>
      </c>
      <c r="K210" s="1" t="s">
        <v>226</v>
      </c>
      <c r="L210" s="1" t="s">
        <v>2155</v>
      </c>
      <c r="M210" s="1" t="s">
        <v>2252</v>
      </c>
      <c r="N210" s="1">
        <v>6767.0</v>
      </c>
      <c r="O210" s="1" t="s">
        <v>2253</v>
      </c>
      <c r="P210" s="1" t="s">
        <v>4</v>
      </c>
      <c r="Q210" s="1" t="s">
        <v>1001</v>
      </c>
      <c r="R210" s="1" t="s">
        <v>2275</v>
      </c>
      <c r="S210" s="1" t="s">
        <v>2275</v>
      </c>
      <c r="T210" s="1" t="s">
        <v>249</v>
      </c>
      <c r="U210" s="1" t="s">
        <v>575</v>
      </c>
      <c r="V210" s="1" t="s">
        <v>477</v>
      </c>
      <c r="W210" s="1" t="s">
        <v>252</v>
      </c>
      <c r="X210" s="1" t="s">
        <v>2160</v>
      </c>
      <c r="Y210" s="1">
        <v>133.0</v>
      </c>
      <c r="Z210" s="1" t="s">
        <v>1865</v>
      </c>
    </row>
    <row r="211" ht="15.75" customHeight="1">
      <c r="B211" s="1">
        <v>338.0</v>
      </c>
      <c r="C211" s="1" t="s">
        <v>978</v>
      </c>
      <c r="D211" s="1" t="s">
        <v>2152</v>
      </c>
      <c r="E211" s="1" t="s">
        <v>1868</v>
      </c>
      <c r="F211" s="1">
        <v>4.9961545001397E13</v>
      </c>
      <c r="G211" s="1">
        <v>9.63959514E8</v>
      </c>
      <c r="H211" s="1">
        <v>53.0</v>
      </c>
      <c r="I211" s="1">
        <v>440.0</v>
      </c>
      <c r="J211" s="1">
        <v>9.081008E7</v>
      </c>
      <c r="K211" s="1" t="s">
        <v>226</v>
      </c>
      <c r="L211" s="1" t="s">
        <v>2155</v>
      </c>
      <c r="M211" s="1" t="s">
        <v>2232</v>
      </c>
      <c r="N211" s="1">
        <v>300.0</v>
      </c>
      <c r="O211" s="1" t="s">
        <v>2233</v>
      </c>
      <c r="P211" s="1" t="s">
        <v>4</v>
      </c>
      <c r="Q211" s="1" t="s">
        <v>990</v>
      </c>
      <c r="R211" s="1" t="s">
        <v>2275</v>
      </c>
      <c r="S211" s="1" t="s">
        <v>2275</v>
      </c>
      <c r="T211" s="1" t="s">
        <v>249</v>
      </c>
      <c r="U211" s="1" t="s">
        <v>575</v>
      </c>
      <c r="V211" s="1" t="s">
        <v>477</v>
      </c>
      <c r="W211" s="1" t="s">
        <v>252</v>
      </c>
      <c r="X211" s="1" t="s">
        <v>2160</v>
      </c>
      <c r="Y211" s="1">
        <v>133.0</v>
      </c>
      <c r="Z211" s="1" t="s">
        <v>1874</v>
      </c>
    </row>
    <row r="212" ht="15.75" customHeight="1">
      <c r="B212" s="1">
        <v>339.0</v>
      </c>
      <c r="C212" s="1" t="s">
        <v>978</v>
      </c>
      <c r="D212" s="1" t="s">
        <v>2152</v>
      </c>
      <c r="E212" s="1" t="s">
        <v>2340</v>
      </c>
      <c r="F212" s="1">
        <v>4.9961545004493E13</v>
      </c>
      <c r="G212" s="1">
        <v>9.63959751E8</v>
      </c>
      <c r="H212" s="1">
        <v>53.0</v>
      </c>
      <c r="I212" s="1">
        <v>441.0</v>
      </c>
      <c r="J212" s="1">
        <v>9.1010002E7</v>
      </c>
      <c r="K212" s="1" t="s">
        <v>226</v>
      </c>
      <c r="L212" s="1" t="s">
        <v>2155</v>
      </c>
      <c r="M212" s="1" t="s">
        <v>2259</v>
      </c>
      <c r="N212" s="1">
        <v>2611.0</v>
      </c>
      <c r="O212" s="1" t="s">
        <v>2198</v>
      </c>
      <c r="P212" s="1" t="s">
        <v>4</v>
      </c>
      <c r="Q212" s="1" t="s">
        <v>1001</v>
      </c>
      <c r="R212" s="1" t="s">
        <v>2275</v>
      </c>
      <c r="S212" s="1" t="s">
        <v>2275</v>
      </c>
      <c r="T212" s="1" t="s">
        <v>249</v>
      </c>
      <c r="U212" s="1" t="s">
        <v>575</v>
      </c>
      <c r="V212" s="1" t="s">
        <v>477</v>
      </c>
      <c r="W212" s="1" t="s">
        <v>252</v>
      </c>
      <c r="X212" s="1" t="s">
        <v>2160</v>
      </c>
      <c r="Y212" s="1">
        <v>274.0</v>
      </c>
      <c r="Z212" s="1" t="s">
        <v>1882</v>
      </c>
    </row>
    <row r="213" ht="15.75" customHeight="1">
      <c r="B213" s="1">
        <v>340.0</v>
      </c>
      <c r="C213" s="1" t="s">
        <v>978</v>
      </c>
      <c r="D213" s="1" t="s">
        <v>2152</v>
      </c>
      <c r="E213" s="1" t="s">
        <v>2344</v>
      </c>
      <c r="F213" s="1">
        <v>4.9961545005031E13</v>
      </c>
      <c r="G213" s="1">
        <v>9.30506537E8</v>
      </c>
      <c r="H213" s="1">
        <v>53.0</v>
      </c>
      <c r="I213" s="1">
        <v>444.0</v>
      </c>
      <c r="J213" s="1">
        <v>9.6085E7</v>
      </c>
      <c r="K213" s="1" t="s">
        <v>226</v>
      </c>
      <c r="L213" s="1" t="s">
        <v>2261</v>
      </c>
      <c r="M213" s="1" t="s">
        <v>2262</v>
      </c>
      <c r="N213" s="1">
        <v>1526.0</v>
      </c>
      <c r="O213" s="1" t="s">
        <v>2263</v>
      </c>
      <c r="P213" s="1" t="s">
        <v>4</v>
      </c>
      <c r="Q213" s="1" t="s">
        <v>1001</v>
      </c>
      <c r="R213" s="1" t="s">
        <v>2275</v>
      </c>
      <c r="S213" s="1" t="s">
        <v>2275</v>
      </c>
      <c r="T213" s="1" t="s">
        <v>249</v>
      </c>
      <c r="U213" s="1" t="s">
        <v>575</v>
      </c>
      <c r="V213" s="1" t="s">
        <v>375</v>
      </c>
      <c r="W213" s="1" t="s">
        <v>252</v>
      </c>
      <c r="X213" s="1" t="s">
        <v>2160</v>
      </c>
      <c r="Y213" s="1">
        <v>130.0</v>
      </c>
      <c r="Z213" s="1" t="s">
        <v>1889</v>
      </c>
    </row>
    <row r="214" ht="15.75" customHeight="1">
      <c r="B214" s="1">
        <v>341.0</v>
      </c>
      <c r="C214" s="1" t="s">
        <v>978</v>
      </c>
      <c r="D214" s="1" t="s">
        <v>2152</v>
      </c>
      <c r="E214" s="1" t="s">
        <v>1893</v>
      </c>
      <c r="F214" s="1">
        <v>4.9961545004574E13</v>
      </c>
      <c r="G214" s="1">
        <v>5.70379172E8</v>
      </c>
      <c r="H214" s="1">
        <v>53.0</v>
      </c>
      <c r="I214" s="1">
        <v>445.0</v>
      </c>
      <c r="J214" s="1">
        <v>9.403524E7</v>
      </c>
      <c r="K214" s="1" t="s">
        <v>226</v>
      </c>
      <c r="L214" s="1" t="s">
        <v>2184</v>
      </c>
      <c r="M214" s="1" t="s">
        <v>2264</v>
      </c>
      <c r="N214" s="1">
        <v>555.0</v>
      </c>
      <c r="O214" s="1" t="s">
        <v>2265</v>
      </c>
      <c r="P214" s="1" t="s">
        <v>4</v>
      </c>
      <c r="Q214" s="1" t="s">
        <v>1001</v>
      </c>
      <c r="R214" s="1" t="s">
        <v>2275</v>
      </c>
      <c r="S214" s="1" t="s">
        <v>2275</v>
      </c>
      <c r="T214" s="1" t="s">
        <v>249</v>
      </c>
      <c r="U214" s="1" t="s">
        <v>575</v>
      </c>
      <c r="V214" s="1" t="s">
        <v>477</v>
      </c>
      <c r="W214" s="1" t="s">
        <v>252</v>
      </c>
      <c r="X214" s="1" t="s">
        <v>2160</v>
      </c>
      <c r="Y214" s="1">
        <v>242.0</v>
      </c>
      <c r="Z214" s="1" t="s">
        <v>1901</v>
      </c>
    </row>
    <row r="215" ht="15.75" customHeight="1">
      <c r="B215" s="1">
        <v>342.0</v>
      </c>
      <c r="C215" s="1" t="s">
        <v>978</v>
      </c>
      <c r="D215" s="1" t="s">
        <v>2152</v>
      </c>
      <c r="E215" s="1" t="s">
        <v>2345</v>
      </c>
      <c r="F215" s="1">
        <v>4.9961545005201E13</v>
      </c>
      <c r="G215" s="1">
        <v>1.000335876E9</v>
      </c>
      <c r="H215" s="1">
        <v>53.0</v>
      </c>
      <c r="I215" s="1">
        <v>446.0</v>
      </c>
      <c r="J215" s="1">
        <v>9.621273E7</v>
      </c>
      <c r="K215" s="1" t="s">
        <v>226</v>
      </c>
      <c r="L215" s="1" t="s">
        <v>2278</v>
      </c>
      <c r="M215" s="1" t="s">
        <v>2348</v>
      </c>
      <c r="N215" s="1">
        <v>155.0</v>
      </c>
      <c r="O215" s="1" t="s">
        <v>2349</v>
      </c>
      <c r="P215" s="1" t="s">
        <v>4</v>
      </c>
      <c r="Q215" s="1" t="s">
        <v>1001</v>
      </c>
      <c r="R215" s="1" t="s">
        <v>2275</v>
      </c>
      <c r="S215" s="1" t="s">
        <v>2275</v>
      </c>
      <c r="T215" s="1" t="s">
        <v>249</v>
      </c>
      <c r="U215" s="1" t="s">
        <v>575</v>
      </c>
      <c r="V215" s="1" t="s">
        <v>375</v>
      </c>
      <c r="W215" s="1" t="s">
        <v>252</v>
      </c>
      <c r="X215" s="1" t="s">
        <v>2160</v>
      </c>
      <c r="Y215" s="1">
        <v>294.0</v>
      </c>
      <c r="Z215" s="1" t="s">
        <v>1913</v>
      </c>
    </row>
    <row r="216" ht="15.75" customHeight="1">
      <c r="B216" s="1">
        <v>343.0</v>
      </c>
      <c r="C216" s="1" t="s">
        <v>978</v>
      </c>
      <c r="D216" s="1" t="s">
        <v>2152</v>
      </c>
      <c r="E216" s="1" t="s">
        <v>2350</v>
      </c>
      <c r="F216" s="1">
        <v>4.9961545003926E13</v>
      </c>
      <c r="G216" s="1">
        <v>2.40568214E8</v>
      </c>
      <c r="H216" s="1">
        <v>53.0</v>
      </c>
      <c r="I216" s="1">
        <v>447.0</v>
      </c>
      <c r="J216" s="1">
        <v>9.2020475E7</v>
      </c>
      <c r="K216" s="1" t="s">
        <v>226</v>
      </c>
      <c r="L216" s="1" t="s">
        <v>1534</v>
      </c>
      <c r="M216" s="1" t="s">
        <v>1533</v>
      </c>
      <c r="N216" s="1">
        <v>4545.0</v>
      </c>
      <c r="O216" s="1" t="s">
        <v>2172</v>
      </c>
      <c r="P216" s="1" t="s">
        <v>4</v>
      </c>
      <c r="Q216" s="1" t="s">
        <v>1001</v>
      </c>
      <c r="R216" s="1" t="s">
        <v>2275</v>
      </c>
      <c r="S216" s="1" t="s">
        <v>2275</v>
      </c>
      <c r="T216" s="1" t="s">
        <v>249</v>
      </c>
      <c r="U216" s="1" t="s">
        <v>575</v>
      </c>
      <c r="V216" s="1" t="s">
        <v>477</v>
      </c>
      <c r="W216" s="1" t="s">
        <v>252</v>
      </c>
      <c r="X216" s="1" t="s">
        <v>2160</v>
      </c>
      <c r="Y216" s="1">
        <v>181.0</v>
      </c>
      <c r="Z216" s="1" t="s">
        <v>1919</v>
      </c>
    </row>
    <row r="217" ht="15.75" customHeight="1">
      <c r="B217" s="1">
        <v>344.0</v>
      </c>
      <c r="C217" s="1" t="s">
        <v>978</v>
      </c>
      <c r="D217" s="1" t="s">
        <v>2152</v>
      </c>
      <c r="E217" s="1" t="s">
        <v>2353</v>
      </c>
      <c r="F217" s="1">
        <v>4.9961545000315E13</v>
      </c>
      <c r="G217" s="1">
        <v>1.090426159E9</v>
      </c>
      <c r="H217" s="1">
        <v>53.0</v>
      </c>
      <c r="I217" s="1">
        <v>449.0</v>
      </c>
      <c r="J217" s="1">
        <v>9.7020405E7</v>
      </c>
      <c r="K217" s="1" t="s">
        <v>226</v>
      </c>
      <c r="L217" s="1" t="s">
        <v>2246</v>
      </c>
      <c r="M217" s="1" t="s">
        <v>2354</v>
      </c>
      <c r="N217" s="1">
        <v>2885.0</v>
      </c>
      <c r="O217" s="1" t="s">
        <v>2355</v>
      </c>
      <c r="P217" s="1" t="s">
        <v>4</v>
      </c>
      <c r="Q217" s="1" t="s">
        <v>1001</v>
      </c>
      <c r="R217" s="1" t="s">
        <v>2275</v>
      </c>
      <c r="S217" s="1" t="s">
        <v>2275</v>
      </c>
      <c r="T217" s="1" t="s">
        <v>249</v>
      </c>
      <c r="U217" s="1" t="s">
        <v>575</v>
      </c>
      <c r="V217" s="1" t="s">
        <v>400</v>
      </c>
      <c r="W217" s="1" t="s">
        <v>252</v>
      </c>
      <c r="X217" s="1" t="s">
        <v>2160</v>
      </c>
      <c r="Y217" s="1">
        <v>220.0</v>
      </c>
      <c r="Z217" s="1" t="s">
        <v>1929</v>
      </c>
    </row>
    <row r="218" ht="15.75" customHeight="1">
      <c r="B218" s="1">
        <v>383.0</v>
      </c>
      <c r="C218" s="1" t="s">
        <v>978</v>
      </c>
      <c r="D218" s="1" t="s">
        <v>2152</v>
      </c>
      <c r="E218" s="1" t="s">
        <v>2356</v>
      </c>
      <c r="F218" s="1">
        <v>4.9961545006607E13</v>
      </c>
      <c r="G218" s="1">
        <v>2.9075965E8</v>
      </c>
      <c r="H218" s="1">
        <v>53.0</v>
      </c>
      <c r="I218" s="1">
        <v>450.0</v>
      </c>
      <c r="J218" s="1">
        <v>9.51109E7</v>
      </c>
      <c r="K218" s="1" t="s">
        <v>226</v>
      </c>
      <c r="L218" s="1" t="s">
        <v>2220</v>
      </c>
      <c r="M218" s="1" t="s">
        <v>2357</v>
      </c>
      <c r="N218" s="1">
        <v>2780.0</v>
      </c>
      <c r="O218" s="1" t="s">
        <v>2358</v>
      </c>
      <c r="P218" s="1" t="s">
        <v>4</v>
      </c>
      <c r="Q218" s="1" t="s">
        <v>1001</v>
      </c>
      <c r="R218" s="1" t="s">
        <v>2275</v>
      </c>
      <c r="S218" s="1" t="s">
        <v>2275</v>
      </c>
      <c r="T218" s="1" t="s">
        <v>249</v>
      </c>
      <c r="U218" s="1" t="s">
        <v>575</v>
      </c>
      <c r="V218" s="1" t="s">
        <v>400</v>
      </c>
      <c r="W218" s="1" t="s">
        <v>252</v>
      </c>
      <c r="X218" s="1" t="s">
        <v>2160</v>
      </c>
      <c r="Z218" s="1" t="s">
        <v>1938</v>
      </c>
    </row>
    <row r="219" ht="15.75" customHeight="1">
      <c r="B219" s="1">
        <v>290.0</v>
      </c>
      <c r="C219" s="1" t="s">
        <v>978</v>
      </c>
      <c r="D219" s="1" t="s">
        <v>2360</v>
      </c>
      <c r="E219" s="1" t="s">
        <v>2361</v>
      </c>
      <c r="F219" s="1">
        <v>8.45150400013E12</v>
      </c>
      <c r="G219" s="1">
        <v>7.60777535E8</v>
      </c>
      <c r="H219" s="1">
        <v>51.0</v>
      </c>
      <c r="I219" s="1">
        <v>500.0</v>
      </c>
      <c r="J219" s="1">
        <v>1.223101E7</v>
      </c>
      <c r="K219" s="1" t="s">
        <v>41</v>
      </c>
      <c r="L219" s="1" t="s">
        <v>271</v>
      </c>
      <c r="M219" s="1" t="s">
        <v>673</v>
      </c>
      <c r="N219" s="1">
        <v>1692.0</v>
      </c>
      <c r="O219" s="1" t="s">
        <v>670</v>
      </c>
      <c r="R219" s="1" t="s">
        <v>2362</v>
      </c>
      <c r="S219" s="1" t="s">
        <v>2362</v>
      </c>
      <c r="T219" s="1" t="s">
        <v>124</v>
      </c>
      <c r="W219" s="1" t="s">
        <v>857</v>
      </c>
      <c r="X219" s="1" t="s">
        <v>1116</v>
      </c>
    </row>
    <row r="220" ht="15.75" customHeight="1">
      <c r="B220" s="1">
        <v>288.0</v>
      </c>
      <c r="C220" s="1" t="s">
        <v>978</v>
      </c>
      <c r="D220" s="1" t="s">
        <v>2360</v>
      </c>
      <c r="E220" s="1" t="s">
        <v>2364</v>
      </c>
      <c r="F220" s="1">
        <v>2.4808018000182E13</v>
      </c>
      <c r="G220" s="1" t="s">
        <v>2367</v>
      </c>
      <c r="H220" s="1">
        <v>51.0</v>
      </c>
      <c r="I220" s="1">
        <v>501.0</v>
      </c>
      <c r="J220" s="1">
        <v>1.223101E7</v>
      </c>
      <c r="K220" s="1" t="s">
        <v>41</v>
      </c>
      <c r="L220" s="1" t="s">
        <v>271</v>
      </c>
      <c r="M220" s="1" t="s">
        <v>673</v>
      </c>
      <c r="N220" s="1">
        <v>1692.0</v>
      </c>
      <c r="O220" s="1" t="s">
        <v>670</v>
      </c>
      <c r="R220" s="1" t="s">
        <v>2362</v>
      </c>
      <c r="S220" s="1" t="s">
        <v>2362</v>
      </c>
      <c r="T220" s="1" t="s">
        <v>147</v>
      </c>
      <c r="W220" s="1" t="s">
        <v>252</v>
      </c>
      <c r="X220" s="1" t="s">
        <v>1116</v>
      </c>
    </row>
    <row r="221" ht="15.75" customHeight="1">
      <c r="B221" s="1">
        <v>289.0</v>
      </c>
      <c r="C221" s="1" t="s">
        <v>978</v>
      </c>
      <c r="D221" s="1" t="s">
        <v>2360</v>
      </c>
      <c r="E221" s="1" t="s">
        <v>2368</v>
      </c>
      <c r="F221" s="1">
        <v>2.4808018000263E13</v>
      </c>
      <c r="G221" s="1" t="s">
        <v>2369</v>
      </c>
      <c r="H221" s="1">
        <v>51.0</v>
      </c>
      <c r="I221" s="1">
        <v>502.0</v>
      </c>
      <c r="J221" s="1">
        <v>3.5523186E7</v>
      </c>
      <c r="K221" s="1" t="s">
        <v>181</v>
      </c>
      <c r="L221" s="1" t="s">
        <v>2370</v>
      </c>
      <c r="M221" s="1" t="s">
        <v>2371</v>
      </c>
      <c r="N221" s="1">
        <v>1885.0</v>
      </c>
      <c r="O221" s="1" t="s">
        <v>2372</v>
      </c>
      <c r="P221" s="1" t="s">
        <v>2373</v>
      </c>
      <c r="Q221" s="1" t="s">
        <v>1001</v>
      </c>
      <c r="R221" s="1" t="s">
        <v>2362</v>
      </c>
      <c r="S221" s="1" t="s">
        <v>2362</v>
      </c>
      <c r="T221" s="1" t="s">
        <v>147</v>
      </c>
      <c r="W221" s="1" t="s">
        <v>252</v>
      </c>
      <c r="X221" s="1" t="s">
        <v>1116</v>
      </c>
    </row>
    <row r="222" ht="15.75" customHeight="1">
      <c r="B222" s="1">
        <v>360.0</v>
      </c>
      <c r="C222" s="1" t="s">
        <v>978</v>
      </c>
      <c r="D222" s="1" t="s">
        <v>2360</v>
      </c>
      <c r="E222" s="1" t="s">
        <v>2375</v>
      </c>
      <c r="F222" s="1">
        <v>7.9332465000108E13</v>
      </c>
      <c r="G222" s="1">
        <v>1.25386809114E11</v>
      </c>
      <c r="H222" s="1">
        <v>51.0</v>
      </c>
      <c r="I222" s="1">
        <v>503.0</v>
      </c>
      <c r="J222" s="1">
        <v>1.223101E7</v>
      </c>
      <c r="K222" s="1" t="s">
        <v>41</v>
      </c>
      <c r="L222" s="1" t="s">
        <v>271</v>
      </c>
      <c r="M222" s="1" t="s">
        <v>673</v>
      </c>
      <c r="N222" s="1">
        <v>1692.0</v>
      </c>
      <c r="O222" s="1" t="s">
        <v>670</v>
      </c>
      <c r="P222" s="1" t="s">
        <v>2373</v>
      </c>
      <c r="Q222" s="1" t="s">
        <v>1001</v>
      </c>
      <c r="R222" s="1" t="s">
        <v>2362</v>
      </c>
      <c r="S222" s="1" t="s">
        <v>2362</v>
      </c>
      <c r="T222" s="1" t="s">
        <v>124</v>
      </c>
      <c r="W222" s="1" t="s">
        <v>252</v>
      </c>
      <c r="X222" s="1" t="s">
        <v>1116</v>
      </c>
    </row>
    <row r="223" ht="15.75" customHeight="1">
      <c r="B223" s="1">
        <v>389.0</v>
      </c>
      <c r="C223" s="1" t="s">
        <v>978</v>
      </c>
      <c r="D223" s="1" t="s">
        <v>2360</v>
      </c>
      <c r="E223" s="1" t="s">
        <v>2377</v>
      </c>
      <c r="F223" s="1">
        <v>2.4808018000344E13</v>
      </c>
      <c r="G223" s="1">
        <v>8.4756217E7</v>
      </c>
      <c r="H223" s="1">
        <v>51.0</v>
      </c>
      <c r="I223" s="1">
        <v>505.0</v>
      </c>
      <c r="J223" s="1">
        <v>2.916123E7</v>
      </c>
      <c r="K223" s="1" t="s">
        <v>162</v>
      </c>
      <c r="L223" s="1" t="s">
        <v>2378</v>
      </c>
      <c r="M223" s="1" t="s">
        <v>2379</v>
      </c>
      <c r="N223" s="1">
        <v>35.0</v>
      </c>
      <c r="O223" s="1" t="s">
        <v>2380</v>
      </c>
      <c r="R223" s="1" t="s">
        <v>2362</v>
      </c>
      <c r="S223" s="1" t="s">
        <v>2362</v>
      </c>
      <c r="T223" s="1" t="s">
        <v>147</v>
      </c>
      <c r="X223" s="1" t="s">
        <v>1116</v>
      </c>
    </row>
    <row r="224" ht="15.75" customHeight="1">
      <c r="B224" s="1">
        <v>390.0</v>
      </c>
      <c r="C224" s="1" t="s">
        <v>978</v>
      </c>
      <c r="D224" s="1" t="s">
        <v>2360</v>
      </c>
      <c r="E224" s="1" t="s">
        <v>2381</v>
      </c>
      <c r="F224" s="1">
        <v>2.4808018000425E13</v>
      </c>
      <c r="G224" s="1">
        <v>8.4756551E7</v>
      </c>
      <c r="H224" s="1">
        <v>51.0</v>
      </c>
      <c r="I224" s="1">
        <v>506.0</v>
      </c>
      <c r="J224" s="1">
        <v>2.916123E7</v>
      </c>
      <c r="K224" s="1" t="s">
        <v>162</v>
      </c>
      <c r="L224" s="1" t="s">
        <v>2378</v>
      </c>
      <c r="M224" s="1" t="s">
        <v>2379</v>
      </c>
      <c r="N224" s="1">
        <v>35.0</v>
      </c>
      <c r="O224" s="1" t="s">
        <v>2380</v>
      </c>
      <c r="R224" s="1" t="s">
        <v>2362</v>
      </c>
      <c r="S224" s="1" t="s">
        <v>2362</v>
      </c>
      <c r="T224" s="1" t="s">
        <v>147</v>
      </c>
      <c r="X224" s="1" t="s">
        <v>1116</v>
      </c>
    </row>
    <row r="225" ht="15.75" customHeight="1">
      <c r="B225" s="1">
        <v>369.0</v>
      </c>
      <c r="C225" s="1" t="s">
        <v>978</v>
      </c>
      <c r="D225" s="1" t="s">
        <v>2385</v>
      </c>
      <c r="E225" s="1" t="s">
        <v>2386</v>
      </c>
      <c r="F225" s="1">
        <v>5.4650901000158E13</v>
      </c>
      <c r="G225" s="1" t="s">
        <v>2387</v>
      </c>
      <c r="H225" s="1">
        <v>55.0</v>
      </c>
      <c r="I225" s="1">
        <v>600.0</v>
      </c>
      <c r="J225" s="1">
        <v>3.7642911E7</v>
      </c>
      <c r="K225" s="1" t="s">
        <v>181</v>
      </c>
      <c r="L225" s="1" t="s">
        <v>2388</v>
      </c>
      <c r="M225" s="1" t="s">
        <v>2389</v>
      </c>
      <c r="N225" s="1">
        <v>0.0</v>
      </c>
      <c r="O225" s="1" t="s">
        <v>2390</v>
      </c>
      <c r="R225" s="1" t="s">
        <v>1018</v>
      </c>
      <c r="S225" s="1" t="s">
        <v>1018</v>
      </c>
      <c r="T225" s="1" t="s">
        <v>269</v>
      </c>
      <c r="W225" s="1" t="s">
        <v>252</v>
      </c>
      <c r="X225" s="1" t="s">
        <v>1116</v>
      </c>
    </row>
    <row r="226" ht="15.75" customHeight="1">
      <c r="B226" s="1">
        <v>388.0</v>
      </c>
      <c r="C226" s="1" t="s">
        <v>978</v>
      </c>
      <c r="D226" s="1" t="s">
        <v>2385</v>
      </c>
      <c r="E226" s="1" t="s">
        <v>2391</v>
      </c>
      <c r="F226" s="1">
        <v>5.4650901000239E13</v>
      </c>
      <c r="G226" s="1">
        <v>8.4750766E7</v>
      </c>
      <c r="H226" s="1">
        <v>55.0</v>
      </c>
      <c r="I226" s="1">
        <v>601.0</v>
      </c>
      <c r="J226" s="1">
        <v>2.916123E7</v>
      </c>
      <c r="K226" s="1" t="s">
        <v>162</v>
      </c>
      <c r="L226" s="1" t="s">
        <v>2378</v>
      </c>
      <c r="M226" s="1" t="s">
        <v>2379</v>
      </c>
      <c r="N226" s="1">
        <v>35.0</v>
      </c>
      <c r="O226" s="1" t="s">
        <v>2380</v>
      </c>
      <c r="R226" s="1" t="s">
        <v>1018</v>
      </c>
      <c r="S226" s="1" t="s">
        <v>1018</v>
      </c>
      <c r="T226" s="1" t="s">
        <v>269</v>
      </c>
      <c r="X226" s="1" t="s">
        <v>1116</v>
      </c>
    </row>
    <row r="227" ht="15.75" customHeight="1">
      <c r="B227" s="1">
        <v>410.0</v>
      </c>
      <c r="C227" s="1" t="s">
        <v>978</v>
      </c>
      <c r="D227" s="1" t="s">
        <v>2385</v>
      </c>
      <c r="E227" s="1" t="s">
        <v>2394</v>
      </c>
      <c r="F227" s="1">
        <v>1.3188910000191E13</v>
      </c>
      <c r="G227" s="1">
        <v>8.4750766E7</v>
      </c>
      <c r="H227" s="1">
        <v>55.0</v>
      </c>
      <c r="I227" s="1">
        <v>610.0</v>
      </c>
      <c r="J227" s="1">
        <v>2.916123E7</v>
      </c>
      <c r="K227" s="1" t="s">
        <v>162</v>
      </c>
      <c r="L227" s="1" t="s">
        <v>2378</v>
      </c>
      <c r="M227" s="1" t="s">
        <v>2379</v>
      </c>
      <c r="N227" s="1">
        <v>35.0</v>
      </c>
      <c r="O227" s="1" t="s">
        <v>2380</v>
      </c>
      <c r="R227" s="1" t="s">
        <v>1018</v>
      </c>
      <c r="S227" s="1" t="s">
        <v>1018</v>
      </c>
      <c r="T227" s="1" t="s">
        <v>269</v>
      </c>
      <c r="X227" s="1" t="s">
        <v>1116</v>
      </c>
    </row>
    <row r="228" ht="15.75" customHeight="1">
      <c r="B228" s="1">
        <v>386.0</v>
      </c>
      <c r="C228" s="1" t="s">
        <v>978</v>
      </c>
      <c r="D228" s="1" t="s">
        <v>2395</v>
      </c>
      <c r="E228" s="1" t="s">
        <v>2396</v>
      </c>
      <c r="F228" s="1">
        <v>6.29418190001E13</v>
      </c>
      <c r="G228" s="1">
        <v>8.4655119E7</v>
      </c>
      <c r="H228" s="1">
        <v>57.0</v>
      </c>
      <c r="I228" s="1">
        <v>700.0</v>
      </c>
      <c r="J228" s="1">
        <v>2.916123E7</v>
      </c>
      <c r="K228" s="1" t="s">
        <v>162</v>
      </c>
      <c r="L228" s="1" t="s">
        <v>2378</v>
      </c>
      <c r="M228" s="1" t="s">
        <v>2379</v>
      </c>
      <c r="N228" s="1">
        <v>35.0</v>
      </c>
      <c r="O228" s="1" t="s">
        <v>2380</v>
      </c>
      <c r="R228" s="1" t="s">
        <v>2397</v>
      </c>
      <c r="S228" s="1" t="s">
        <v>2397</v>
      </c>
      <c r="T228" s="1" t="s">
        <v>277</v>
      </c>
      <c r="X228" s="1" t="s">
        <v>1116</v>
      </c>
    </row>
    <row r="229" ht="15.75" customHeight="1">
      <c r="B229" s="1">
        <v>387.0</v>
      </c>
      <c r="C229" s="1" t="s">
        <v>978</v>
      </c>
      <c r="D229" s="1" t="s">
        <v>2395</v>
      </c>
      <c r="E229" s="1" t="s">
        <v>2398</v>
      </c>
      <c r="F229" s="1">
        <v>6.2941819000291E13</v>
      </c>
      <c r="G229" s="1">
        <v>1.5741693511E11</v>
      </c>
      <c r="H229" s="1">
        <v>57.0</v>
      </c>
      <c r="I229" s="1">
        <v>701.0</v>
      </c>
      <c r="J229" s="1">
        <v>1.223101E7</v>
      </c>
      <c r="K229" s="1" t="s">
        <v>41</v>
      </c>
      <c r="L229" s="1" t="s">
        <v>704</v>
      </c>
      <c r="M229" s="1" t="s">
        <v>673</v>
      </c>
      <c r="N229" s="1">
        <v>1692.0</v>
      </c>
      <c r="O229" s="1" t="s">
        <v>670</v>
      </c>
      <c r="R229" s="1" t="s">
        <v>2397</v>
      </c>
      <c r="S229" s="1" t="s">
        <v>2397</v>
      </c>
      <c r="T229" s="1" t="s">
        <v>277</v>
      </c>
      <c r="X229" s="1" t="s">
        <v>1116</v>
      </c>
    </row>
    <row r="230" ht="15.75" customHeight="1">
      <c r="B230" s="1">
        <v>391.0</v>
      </c>
      <c r="C230" s="1" t="s">
        <v>978</v>
      </c>
      <c r="D230" s="1" t="s">
        <v>2402</v>
      </c>
      <c r="E230" s="1" t="s">
        <v>2403</v>
      </c>
      <c r="F230" s="1">
        <v>6.7029614000177E13</v>
      </c>
      <c r="G230" s="1">
        <v>1.60067877118E11</v>
      </c>
      <c r="H230" s="1">
        <v>58.0</v>
      </c>
      <c r="I230" s="1">
        <v>800.0</v>
      </c>
      <c r="J230" s="1">
        <v>1.223101E7</v>
      </c>
      <c r="K230" s="1" t="s">
        <v>41</v>
      </c>
      <c r="L230" s="1" t="s">
        <v>704</v>
      </c>
      <c r="M230" s="1" t="s">
        <v>673</v>
      </c>
      <c r="N230" s="1">
        <v>1692.0</v>
      </c>
      <c r="O230" s="1" t="s">
        <v>2404</v>
      </c>
      <c r="R230" s="1" t="s">
        <v>2405</v>
      </c>
      <c r="S230" s="1" t="s">
        <v>2405</v>
      </c>
      <c r="T230" s="1" t="s">
        <v>194</v>
      </c>
      <c r="X230" s="1" t="s">
        <v>1116</v>
      </c>
    </row>
    <row r="231" ht="15.75" customHeight="1">
      <c r="B231" s="1">
        <v>393.0</v>
      </c>
      <c r="C231" s="1" t="s">
        <v>978</v>
      </c>
      <c r="D231" s="1" t="s">
        <v>2406</v>
      </c>
      <c r="E231" s="1" t="s">
        <v>2407</v>
      </c>
      <c r="F231" s="1">
        <v>4.0159753002102E13</v>
      </c>
      <c r="G231" s="1" t="s">
        <v>2408</v>
      </c>
      <c r="H231" s="1">
        <v>58.0</v>
      </c>
      <c r="I231" s="1">
        <v>801.0</v>
      </c>
      <c r="J231" s="1">
        <v>6.176868E7</v>
      </c>
      <c r="K231" s="1" t="s">
        <v>136</v>
      </c>
      <c r="L231" s="1" t="s">
        <v>2409</v>
      </c>
      <c r="M231" s="1" t="s">
        <v>2410</v>
      </c>
      <c r="N231" s="1">
        <v>1890.0</v>
      </c>
      <c r="O231" s="1" t="s">
        <v>2411</v>
      </c>
      <c r="R231" s="1" t="s">
        <v>2405</v>
      </c>
      <c r="S231" s="1" t="s">
        <v>2405</v>
      </c>
      <c r="T231" s="1" t="s">
        <v>194</v>
      </c>
      <c r="X231" s="1" t="s">
        <v>1116</v>
      </c>
    </row>
    <row r="232" ht="15.75" customHeight="1">
      <c r="B232" s="1">
        <v>394.0</v>
      </c>
      <c r="C232" s="1" t="s">
        <v>978</v>
      </c>
      <c r="D232" s="1" t="s">
        <v>2406</v>
      </c>
      <c r="E232" s="1" t="s">
        <v>2412</v>
      </c>
      <c r="F232" s="1">
        <v>4.0159753002455E13</v>
      </c>
      <c r="G232" s="1">
        <v>7.1339604E7</v>
      </c>
      <c r="H232" s="1">
        <v>58.0</v>
      </c>
      <c r="I232" s="1">
        <v>802.0</v>
      </c>
      <c r="J232" s="1">
        <v>6.176868E7</v>
      </c>
      <c r="K232" s="1" t="s">
        <v>136</v>
      </c>
      <c r="L232" s="1" t="s">
        <v>2409</v>
      </c>
      <c r="M232" s="1" t="s">
        <v>2410</v>
      </c>
      <c r="N232" s="1">
        <v>3100.0</v>
      </c>
      <c r="O232" s="1" t="s">
        <v>2411</v>
      </c>
      <c r="R232" s="1" t="s">
        <v>2405</v>
      </c>
      <c r="S232" s="1" t="s">
        <v>2405</v>
      </c>
      <c r="T232" s="1" t="s">
        <v>194</v>
      </c>
      <c r="X232" s="1" t="s">
        <v>1116</v>
      </c>
    </row>
    <row r="233" ht="15.75" customHeight="1">
      <c r="B233" s="1">
        <v>395.0</v>
      </c>
      <c r="C233" s="1" t="s">
        <v>978</v>
      </c>
      <c r="D233" s="1" t="s">
        <v>2406</v>
      </c>
      <c r="E233" s="1" t="s">
        <v>2414</v>
      </c>
      <c r="F233" s="1">
        <v>4.0159753003184E13</v>
      </c>
      <c r="G233" s="1">
        <v>7.141253E7</v>
      </c>
      <c r="H233" s="1">
        <v>58.0</v>
      </c>
      <c r="I233" s="1">
        <v>803.0</v>
      </c>
      <c r="J233" s="1">
        <v>6.0325002E7</v>
      </c>
      <c r="K233" s="1" t="s">
        <v>136</v>
      </c>
      <c r="L233" s="1" t="s">
        <v>2415</v>
      </c>
      <c r="M233" s="1" t="s">
        <v>2416</v>
      </c>
      <c r="N233" s="1">
        <v>2450.0</v>
      </c>
      <c r="O233" s="1" t="s">
        <v>2417</v>
      </c>
      <c r="R233" s="1" t="s">
        <v>2405</v>
      </c>
      <c r="S233" s="1" t="s">
        <v>2405</v>
      </c>
      <c r="T233" s="1" t="s">
        <v>194</v>
      </c>
      <c r="X233" s="1" t="s">
        <v>1116</v>
      </c>
    </row>
    <row r="234" ht="15.75" customHeight="1">
      <c r="B234" s="1">
        <v>396.0</v>
      </c>
      <c r="C234" s="1" t="s">
        <v>978</v>
      </c>
      <c r="D234" s="1" t="s">
        <v>2406</v>
      </c>
      <c r="E234" s="1" t="s">
        <v>2418</v>
      </c>
      <c r="F234" s="1">
        <v>4.0159753002889E13</v>
      </c>
      <c r="G234" s="1">
        <v>7.1349782E7</v>
      </c>
      <c r="H234" s="1">
        <v>58.0</v>
      </c>
      <c r="I234" s="1">
        <v>804.0</v>
      </c>
      <c r="J234" s="1">
        <v>6.074002E7</v>
      </c>
      <c r="K234" s="1" t="s">
        <v>136</v>
      </c>
      <c r="L234" s="1" t="s">
        <v>2415</v>
      </c>
      <c r="M234" s="1" t="s">
        <v>2420</v>
      </c>
      <c r="N234" s="1">
        <v>300.0</v>
      </c>
      <c r="O234" s="1" t="s">
        <v>2421</v>
      </c>
      <c r="R234" s="1" t="s">
        <v>2405</v>
      </c>
      <c r="S234" s="1" t="s">
        <v>2405</v>
      </c>
      <c r="T234" s="1" t="s">
        <v>194</v>
      </c>
      <c r="X234" s="1" t="s">
        <v>1116</v>
      </c>
    </row>
    <row r="235" ht="15.75" customHeight="1">
      <c r="B235" s="1">
        <v>397.0</v>
      </c>
      <c r="C235" s="1" t="s">
        <v>978</v>
      </c>
      <c r="D235" s="1" t="s">
        <v>2406</v>
      </c>
      <c r="E235" s="1" t="s">
        <v>2422</v>
      </c>
      <c r="F235" s="1">
        <v>4.015975300296E13</v>
      </c>
      <c r="G235" s="1">
        <v>7.1405534E7</v>
      </c>
      <c r="H235" s="1">
        <v>58.0</v>
      </c>
      <c r="I235" s="1">
        <v>805.0</v>
      </c>
      <c r="J235" s="1">
        <v>6.0520101E7</v>
      </c>
      <c r="K235" s="1" t="s">
        <v>136</v>
      </c>
      <c r="L235" s="1" t="s">
        <v>2415</v>
      </c>
      <c r="M235" s="1" t="s">
        <v>2424</v>
      </c>
      <c r="N235" s="1">
        <v>419.0</v>
      </c>
      <c r="O235" s="1" t="s">
        <v>2425</v>
      </c>
      <c r="R235" s="1" t="s">
        <v>2405</v>
      </c>
      <c r="S235" s="1" t="s">
        <v>2405</v>
      </c>
      <c r="T235" s="1" t="s">
        <v>194</v>
      </c>
      <c r="X235" s="1" t="s">
        <v>1116</v>
      </c>
    </row>
    <row r="236" ht="15.75" customHeight="1">
      <c r="B236" s="1">
        <v>398.0</v>
      </c>
      <c r="C236" s="1" t="s">
        <v>978</v>
      </c>
      <c r="D236" s="1" t="s">
        <v>2406</v>
      </c>
      <c r="E236" s="1" t="s">
        <v>2426</v>
      </c>
      <c r="F236" s="1">
        <v>4.0159753002617E13</v>
      </c>
      <c r="G236" s="1">
        <v>7.1350055E7</v>
      </c>
      <c r="H236" s="1">
        <v>58.0</v>
      </c>
      <c r="I236" s="1">
        <v>806.0</v>
      </c>
      <c r="J236" s="1">
        <v>6.0170265E7</v>
      </c>
      <c r="K236" s="1" t="s">
        <v>136</v>
      </c>
      <c r="L236" s="1" t="s">
        <v>2415</v>
      </c>
      <c r="M236" s="1" t="s">
        <v>2427</v>
      </c>
      <c r="N236" s="1">
        <v>617.0</v>
      </c>
      <c r="O236" s="1" t="s">
        <v>2428</v>
      </c>
      <c r="R236" s="1" t="s">
        <v>2405</v>
      </c>
      <c r="S236" s="1" t="s">
        <v>2405</v>
      </c>
      <c r="T236" s="1" t="s">
        <v>194</v>
      </c>
      <c r="X236" s="1" t="s">
        <v>1116</v>
      </c>
    </row>
    <row r="237" ht="15.75" customHeight="1">
      <c r="B237" s="1">
        <v>399.0</v>
      </c>
      <c r="C237" s="1" t="s">
        <v>978</v>
      </c>
      <c r="D237" s="1" t="s">
        <v>2406</v>
      </c>
      <c r="E237" s="1" t="s">
        <v>2430</v>
      </c>
      <c r="F237" s="1">
        <v>4.0159753002706E13</v>
      </c>
      <c r="G237" s="1">
        <v>7.1335218E7</v>
      </c>
      <c r="H237" s="1">
        <v>58.0</v>
      </c>
      <c r="I237" s="1">
        <v>807.0</v>
      </c>
      <c r="J237" s="1">
        <v>6.0176065E7</v>
      </c>
      <c r="K237" s="1" t="s">
        <v>136</v>
      </c>
      <c r="L237" s="1" t="s">
        <v>2415</v>
      </c>
      <c r="M237" s="1" t="s">
        <v>2431</v>
      </c>
      <c r="N237" s="1">
        <v>1500.0</v>
      </c>
      <c r="O237" s="1" t="s">
        <v>2432</v>
      </c>
      <c r="R237" s="1" t="s">
        <v>2405</v>
      </c>
      <c r="S237" s="1" t="s">
        <v>2405</v>
      </c>
      <c r="T237" s="1" t="s">
        <v>194</v>
      </c>
      <c r="X237" s="1" t="s">
        <v>1116</v>
      </c>
    </row>
    <row r="238" ht="15.75" customHeight="1">
      <c r="B238" s="1">
        <v>400.0</v>
      </c>
      <c r="C238" s="1" t="s">
        <v>978</v>
      </c>
      <c r="D238" s="1" t="s">
        <v>2406</v>
      </c>
      <c r="E238" s="1" t="s">
        <v>2433</v>
      </c>
      <c r="F238" s="1">
        <v>4.0159753003001E13</v>
      </c>
      <c r="G238" s="1">
        <v>7.1362266E7</v>
      </c>
      <c r="H238" s="1">
        <v>58.0</v>
      </c>
      <c r="I238" s="1">
        <v>808.0</v>
      </c>
      <c r="J238" s="1">
        <v>6.0811341E7</v>
      </c>
      <c r="K238" s="1" t="s">
        <v>136</v>
      </c>
      <c r="L238" s="1" t="s">
        <v>2415</v>
      </c>
      <c r="M238" s="1" t="s">
        <v>2434</v>
      </c>
      <c r="N238" s="1">
        <v>85.0</v>
      </c>
      <c r="O238" s="1" t="s">
        <v>2435</v>
      </c>
      <c r="R238" s="1" t="s">
        <v>2405</v>
      </c>
      <c r="S238" s="1" t="s">
        <v>2405</v>
      </c>
      <c r="T238" s="1" t="s">
        <v>194</v>
      </c>
      <c r="X238" s="1" t="s">
        <v>1116</v>
      </c>
    </row>
    <row r="239" ht="15.75" customHeight="1">
      <c r="B239" s="1">
        <v>401.0</v>
      </c>
      <c r="C239" s="1" t="s">
        <v>978</v>
      </c>
      <c r="D239" s="1" t="s">
        <v>2406</v>
      </c>
      <c r="E239" s="1" t="s">
        <v>2437</v>
      </c>
      <c r="F239" s="1">
        <v>4.0159753002374E13</v>
      </c>
      <c r="G239" s="1">
        <v>7.1333088E7</v>
      </c>
      <c r="H239" s="1">
        <v>58.0</v>
      </c>
      <c r="I239" s="1">
        <v>809.0</v>
      </c>
      <c r="J239" s="1">
        <v>6.0840285E7</v>
      </c>
      <c r="K239" s="1" t="s">
        <v>136</v>
      </c>
      <c r="L239" s="1" t="s">
        <v>2415</v>
      </c>
      <c r="M239" s="1" t="s">
        <v>2438</v>
      </c>
      <c r="N239" s="1">
        <v>3840.0</v>
      </c>
      <c r="O239" s="1" t="s">
        <v>2439</v>
      </c>
      <c r="R239" s="1" t="s">
        <v>2405</v>
      </c>
      <c r="S239" s="1" t="s">
        <v>2405</v>
      </c>
      <c r="T239" s="1" t="s">
        <v>194</v>
      </c>
      <c r="X239" s="1" t="s">
        <v>1116</v>
      </c>
    </row>
    <row r="240" ht="15.75" customHeight="1">
      <c r="B240" s="1">
        <v>392.0</v>
      </c>
      <c r="C240" s="1" t="s">
        <v>978</v>
      </c>
      <c r="D240" s="1" t="s">
        <v>2406</v>
      </c>
      <c r="E240" s="1" t="s">
        <v>2440</v>
      </c>
      <c r="F240" s="1">
        <v>4.0159753004903E13</v>
      </c>
      <c r="G240" s="1">
        <v>2.30794276E8</v>
      </c>
      <c r="H240" s="1">
        <v>58.0</v>
      </c>
      <c r="I240" s="1">
        <v>810.0</v>
      </c>
      <c r="J240" s="1">
        <v>4.282797E7</v>
      </c>
      <c r="K240" s="1" t="s">
        <v>105</v>
      </c>
      <c r="L240" s="1" t="s">
        <v>2441</v>
      </c>
      <c r="M240" s="1" t="s">
        <v>2442</v>
      </c>
      <c r="N240" s="1">
        <v>0.0</v>
      </c>
      <c r="O240" s="1" t="s">
        <v>2443</v>
      </c>
      <c r="R240" s="1" t="s">
        <v>2405</v>
      </c>
      <c r="S240" s="1" t="s">
        <v>2405</v>
      </c>
      <c r="T240" s="1" t="s">
        <v>194</v>
      </c>
      <c r="X240" s="1" t="s">
        <v>1116</v>
      </c>
    </row>
    <row r="241" ht="15.75" customHeight="1">
      <c r="B241" s="1">
        <v>402.0</v>
      </c>
      <c r="C241" s="1" t="s">
        <v>978</v>
      </c>
      <c r="D241" s="1" t="s">
        <v>2406</v>
      </c>
      <c r="E241" s="1" t="s">
        <v>2445</v>
      </c>
      <c r="F241" s="1">
        <v>4.0159753004741E13</v>
      </c>
      <c r="G241" s="1" t="s">
        <v>2446</v>
      </c>
      <c r="H241" s="1">
        <v>58.0</v>
      </c>
      <c r="I241" s="1">
        <v>811.0</v>
      </c>
      <c r="J241" s="1">
        <v>4.27024E7</v>
      </c>
      <c r="K241" s="1" t="s">
        <v>105</v>
      </c>
      <c r="L241" s="1" t="s">
        <v>2447</v>
      </c>
      <c r="M241" s="1" t="s">
        <v>39</v>
      </c>
      <c r="N241" s="1">
        <v>4630.0</v>
      </c>
      <c r="O241" s="1" t="s">
        <v>2449</v>
      </c>
      <c r="R241" s="1" t="s">
        <v>2405</v>
      </c>
      <c r="S241" s="1" t="s">
        <v>2405</v>
      </c>
      <c r="T241" s="1" t="s">
        <v>194</v>
      </c>
      <c r="X241" s="1" t="s">
        <v>1116</v>
      </c>
    </row>
    <row r="242" ht="15.75" customHeight="1">
      <c r="B242" s="1">
        <v>404.0</v>
      </c>
      <c r="C242" s="1" t="s">
        <v>978</v>
      </c>
      <c r="D242" s="1" t="s">
        <v>2406</v>
      </c>
      <c r="E242" s="1" t="s">
        <v>2450</v>
      </c>
      <c r="F242" s="1">
        <v>4.0159753003508E13</v>
      </c>
      <c r="G242" s="1" t="s">
        <v>2451</v>
      </c>
      <c r="H242" s="1">
        <v>58.0</v>
      </c>
      <c r="I242" s="1">
        <v>812.0</v>
      </c>
      <c r="J242" s="1">
        <v>4.151E7</v>
      </c>
      <c r="K242" s="1" t="s">
        <v>105</v>
      </c>
      <c r="L242" s="1" t="s">
        <v>2452</v>
      </c>
      <c r="M242" s="1" t="s">
        <v>2453</v>
      </c>
      <c r="N242" s="1">
        <v>305.0</v>
      </c>
      <c r="O242" s="1" t="s">
        <v>2454</v>
      </c>
      <c r="R242" s="1" t="s">
        <v>2405</v>
      </c>
      <c r="S242" s="1" t="s">
        <v>2405</v>
      </c>
      <c r="T242" s="1" t="s">
        <v>194</v>
      </c>
      <c r="X242" s="1" t="s">
        <v>1116</v>
      </c>
    </row>
    <row r="243" ht="15.75" customHeight="1">
      <c r="B243" s="1">
        <v>406.0</v>
      </c>
      <c r="C243" s="1" t="s">
        <v>978</v>
      </c>
      <c r="D243" s="1" t="s">
        <v>2406</v>
      </c>
      <c r="E243" s="1" t="s">
        <v>2456</v>
      </c>
      <c r="F243" s="1">
        <v>4.0159753004075E13</v>
      </c>
      <c r="G243" s="1" t="s">
        <v>2457</v>
      </c>
      <c r="H243" s="1">
        <v>58.0</v>
      </c>
      <c r="I243" s="1">
        <v>813.0</v>
      </c>
      <c r="J243" s="1">
        <v>4.16804E7</v>
      </c>
      <c r="K243" s="1" t="s">
        <v>105</v>
      </c>
      <c r="L243" s="1" t="s">
        <v>2452</v>
      </c>
      <c r="M243" s="1" t="s">
        <v>2458</v>
      </c>
      <c r="N243" s="1">
        <v>8544.0</v>
      </c>
      <c r="O243" s="1" t="s">
        <v>2459</v>
      </c>
      <c r="R243" s="1" t="s">
        <v>2405</v>
      </c>
      <c r="S243" s="1" t="s">
        <v>2405</v>
      </c>
      <c r="T243" s="1" t="s">
        <v>194</v>
      </c>
      <c r="X243" s="1" t="s">
        <v>1116</v>
      </c>
    </row>
    <row r="244" ht="15.75" customHeight="1">
      <c r="B244" s="1">
        <v>407.0</v>
      </c>
      <c r="C244" s="1" t="s">
        <v>978</v>
      </c>
      <c r="D244" s="1" t="s">
        <v>2406</v>
      </c>
      <c r="E244" s="1" t="s">
        <v>2461</v>
      </c>
      <c r="F244" s="1">
        <v>4.015975300466E13</v>
      </c>
      <c r="G244" s="1" t="s">
        <v>2462</v>
      </c>
      <c r="H244" s="1">
        <v>58.0</v>
      </c>
      <c r="I244" s="1">
        <v>814.0</v>
      </c>
      <c r="J244" s="1">
        <v>4.1820021E7</v>
      </c>
      <c r="K244" s="1" t="s">
        <v>105</v>
      </c>
      <c r="L244" s="1" t="s">
        <v>2452</v>
      </c>
      <c r="M244" s="1" t="s">
        <v>2463</v>
      </c>
      <c r="N244" s="1">
        <v>3133.0</v>
      </c>
      <c r="O244" s="1" t="s">
        <v>2464</v>
      </c>
      <c r="R244" s="1" t="s">
        <v>2405</v>
      </c>
      <c r="S244" s="1" t="s">
        <v>2405</v>
      </c>
      <c r="T244" s="1" t="s">
        <v>194</v>
      </c>
      <c r="X244" s="1" t="s">
        <v>1116</v>
      </c>
    </row>
    <row r="245" ht="15.75" customHeight="1">
      <c r="B245" s="1">
        <v>409.0</v>
      </c>
      <c r="C245" s="1" t="s">
        <v>978</v>
      </c>
      <c r="D245" s="1" t="s">
        <v>2406</v>
      </c>
      <c r="E245" s="1" t="s">
        <v>2466</v>
      </c>
      <c r="F245" s="1">
        <v>4.015975300385E13</v>
      </c>
      <c r="G245" s="1" t="s">
        <v>2467</v>
      </c>
      <c r="H245" s="1">
        <v>58.0</v>
      </c>
      <c r="I245" s="1">
        <v>815.0</v>
      </c>
      <c r="J245" s="1">
        <v>4.1820908E7</v>
      </c>
      <c r="K245" s="1" t="s">
        <v>105</v>
      </c>
      <c r="L245" s="1" t="s">
        <v>2452</v>
      </c>
      <c r="M245" s="1" t="s">
        <v>2463</v>
      </c>
      <c r="N245" s="1">
        <v>148.0</v>
      </c>
      <c r="O245" s="1" t="s">
        <v>2464</v>
      </c>
      <c r="R245" s="1" t="s">
        <v>2405</v>
      </c>
      <c r="S245" s="1" t="s">
        <v>2405</v>
      </c>
      <c r="T245" s="1" t="s">
        <v>194</v>
      </c>
      <c r="X245" s="1" t="s">
        <v>1116</v>
      </c>
    </row>
    <row r="246" ht="15.75" customHeight="1">
      <c r="B246" s="1">
        <v>408.0</v>
      </c>
      <c r="C246" s="1" t="s">
        <v>978</v>
      </c>
      <c r="D246" s="1" t="s">
        <v>2406</v>
      </c>
      <c r="E246" s="1" t="s">
        <v>2468</v>
      </c>
      <c r="F246" s="1">
        <v>4.0159753004822E13</v>
      </c>
      <c r="G246" s="1">
        <v>2.27139808E8</v>
      </c>
      <c r="H246" s="1">
        <v>58.0</v>
      </c>
      <c r="I246" s="1">
        <v>816.0</v>
      </c>
      <c r="J246" s="1">
        <v>4.181E7</v>
      </c>
      <c r="K246" s="1" t="s">
        <v>105</v>
      </c>
      <c r="L246" s="1" t="s">
        <v>2452</v>
      </c>
      <c r="M246" s="1" t="s">
        <v>2469</v>
      </c>
      <c r="N246" s="1">
        <v>1317.0</v>
      </c>
      <c r="O246" s="1" t="s">
        <v>2470</v>
      </c>
      <c r="R246" s="1" t="s">
        <v>2405</v>
      </c>
      <c r="S246" s="1" t="s">
        <v>2405</v>
      </c>
      <c r="T246" s="1" t="s">
        <v>194</v>
      </c>
      <c r="X246" s="1" t="s">
        <v>1116</v>
      </c>
    </row>
    <row r="247" ht="15.75" customHeight="1">
      <c r="B247" s="1">
        <v>405.0</v>
      </c>
      <c r="C247" s="1" t="s">
        <v>978</v>
      </c>
      <c r="D247" s="1" t="s">
        <v>2406</v>
      </c>
      <c r="E247" s="1" t="s">
        <v>2471</v>
      </c>
      <c r="F247" s="1">
        <v>4.0159753004407E13</v>
      </c>
      <c r="G247" s="1">
        <v>2.19021474E8</v>
      </c>
      <c r="H247" s="1">
        <v>58.0</v>
      </c>
      <c r="I247" s="1">
        <v>817.0</v>
      </c>
      <c r="J247" s="1">
        <v>4.109802E7</v>
      </c>
      <c r="K247" s="1" t="s">
        <v>105</v>
      </c>
      <c r="L247" s="1" t="s">
        <v>2452</v>
      </c>
      <c r="M247" s="1" t="s">
        <v>2472</v>
      </c>
      <c r="N247" s="1">
        <v>92.0</v>
      </c>
      <c r="O247" s="1" t="s">
        <v>2473</v>
      </c>
      <c r="R247" s="1" t="s">
        <v>2405</v>
      </c>
      <c r="S247" s="1" t="s">
        <v>2405</v>
      </c>
      <c r="T247" s="1" t="s">
        <v>194</v>
      </c>
      <c r="X247" s="1" t="s">
        <v>1116</v>
      </c>
    </row>
    <row r="248" ht="15.75" customHeight="1">
      <c r="B248" s="1">
        <v>403.0</v>
      </c>
      <c r="C248" s="1" t="s">
        <v>978</v>
      </c>
      <c r="D248" s="1" t="s">
        <v>2406</v>
      </c>
      <c r="E248" s="1" t="s">
        <v>2477</v>
      </c>
      <c r="F248" s="1">
        <v>4.0159753003427E13</v>
      </c>
      <c r="G248" s="1" t="s">
        <v>2478</v>
      </c>
      <c r="H248" s="1">
        <v>58.0</v>
      </c>
      <c r="I248" s="1">
        <v>818.0</v>
      </c>
      <c r="J248" s="1">
        <v>4.0050565E7</v>
      </c>
      <c r="K248" s="1" t="s">
        <v>105</v>
      </c>
      <c r="L248" s="1" t="s">
        <v>2452</v>
      </c>
      <c r="M248" s="1" t="s">
        <v>2479</v>
      </c>
      <c r="N248" s="1">
        <v>432.0</v>
      </c>
      <c r="O248" s="1" t="s">
        <v>2480</v>
      </c>
      <c r="R248" s="1" t="s">
        <v>2405</v>
      </c>
      <c r="S248" s="1" t="s">
        <v>2405</v>
      </c>
      <c r="T248" s="1" t="s">
        <v>194</v>
      </c>
      <c r="X248" s="1" t="s">
        <v>1116</v>
      </c>
    </row>
    <row r="249" ht="15.75" customHeight="1">
      <c r="B249" s="1">
        <v>307.0</v>
      </c>
      <c r="C249" s="1" t="s">
        <v>978</v>
      </c>
      <c r="D249" s="1" t="s">
        <v>2243</v>
      </c>
      <c r="E249" s="1" t="s">
        <v>2481</v>
      </c>
      <c r="F249" s="1">
        <v>1.24148470001E13</v>
      </c>
      <c r="G249" s="1" t="s">
        <v>2483</v>
      </c>
      <c r="H249" s="1">
        <v>1.0</v>
      </c>
      <c r="I249" s="1">
        <v>843.0</v>
      </c>
      <c r="J249" s="1">
        <v>9.5670092E7</v>
      </c>
      <c r="K249" s="1" t="s">
        <v>226</v>
      </c>
      <c r="L249" s="1" t="s">
        <v>2484</v>
      </c>
      <c r="M249" s="1" t="s">
        <v>39</v>
      </c>
      <c r="N249" s="1">
        <v>2716.0</v>
      </c>
      <c r="O249" s="1" t="s">
        <v>2143</v>
      </c>
      <c r="R249" s="1" t="s">
        <v>124</v>
      </c>
      <c r="S249" s="1" t="s">
        <v>124</v>
      </c>
      <c r="T249" s="1" t="s">
        <v>249</v>
      </c>
      <c r="W249" s="1" t="s">
        <v>857</v>
      </c>
      <c r="X249" s="1" t="s">
        <v>1116</v>
      </c>
    </row>
    <row r="250" ht="15.75" customHeight="1">
      <c r="B250" s="1">
        <v>366.0</v>
      </c>
      <c r="C250" s="1" t="s">
        <v>978</v>
      </c>
      <c r="D250" s="1" t="s">
        <v>2486</v>
      </c>
      <c r="E250" s="1" t="s">
        <v>2487</v>
      </c>
      <c r="F250" s="1">
        <v>4.8888578000152E13</v>
      </c>
      <c r="G250" s="1">
        <v>1.25519153111E11</v>
      </c>
      <c r="H250" s="1">
        <v>1.0</v>
      </c>
      <c r="I250" s="1">
        <v>900.0</v>
      </c>
      <c r="J250" s="1">
        <v>1.222029E7</v>
      </c>
      <c r="K250" s="1" t="s">
        <v>41</v>
      </c>
      <c r="L250" s="1" t="s">
        <v>271</v>
      </c>
      <c r="M250" s="1" t="s">
        <v>2488</v>
      </c>
      <c r="N250" s="1">
        <v>95.0</v>
      </c>
      <c r="O250" s="1" t="s">
        <v>2489</v>
      </c>
      <c r="R250" s="1" t="s">
        <v>124</v>
      </c>
      <c r="S250" s="1" t="s">
        <v>124</v>
      </c>
      <c r="T250" s="1" t="s">
        <v>124</v>
      </c>
      <c r="W250" s="1" t="s">
        <v>857</v>
      </c>
      <c r="X250" s="1" t="s">
        <v>1116</v>
      </c>
    </row>
    <row r="251" ht="15.75" customHeight="1">
      <c r="B251" s="1">
        <v>139.0</v>
      </c>
      <c r="C251" s="1" t="s">
        <v>1150</v>
      </c>
      <c r="D251" s="1" t="s">
        <v>1015</v>
      </c>
      <c r="E251" s="1" t="s">
        <v>2490</v>
      </c>
      <c r="F251" s="1">
        <v>7.3839389000137E13</v>
      </c>
      <c r="G251" s="1">
        <v>7.95307355112E11</v>
      </c>
      <c r="H251" s="1">
        <v>15.0</v>
      </c>
      <c r="I251" s="1">
        <v>900.0</v>
      </c>
      <c r="J251" s="1">
        <v>1.3060803E7</v>
      </c>
      <c r="K251" s="1" t="s">
        <v>41</v>
      </c>
      <c r="L251" s="1" t="s">
        <v>1498</v>
      </c>
      <c r="M251" s="1" t="s">
        <v>2492</v>
      </c>
      <c r="N251" s="1">
        <v>3900.0</v>
      </c>
      <c r="O251" s="1" t="s">
        <v>2494</v>
      </c>
      <c r="R251" s="1" t="s">
        <v>254</v>
      </c>
      <c r="S251" s="1" t="s">
        <v>254</v>
      </c>
      <c r="T251" s="1" t="s">
        <v>124</v>
      </c>
      <c r="W251" s="1" t="s">
        <v>857</v>
      </c>
      <c r="X251" s="1" t="s">
        <v>994</v>
      </c>
    </row>
    <row r="252" ht="15.75" customHeight="1">
      <c r="B252" s="1">
        <v>170.0</v>
      </c>
      <c r="C252" s="1" t="s">
        <v>1150</v>
      </c>
      <c r="D252" s="1" t="s">
        <v>2496</v>
      </c>
      <c r="E252" s="1" t="s">
        <v>2497</v>
      </c>
      <c r="F252" s="1">
        <v>7.2751116000173E13</v>
      </c>
      <c r="G252" s="1">
        <v>0.0</v>
      </c>
      <c r="H252" s="1">
        <v>21.0</v>
      </c>
      <c r="I252" s="1">
        <v>900.0</v>
      </c>
      <c r="J252" s="1">
        <v>1.356001E7</v>
      </c>
      <c r="K252" s="1" t="s">
        <v>41</v>
      </c>
      <c r="L252" s="1" t="s">
        <v>2498</v>
      </c>
      <c r="M252" s="1" t="s">
        <v>39</v>
      </c>
      <c r="N252" s="1">
        <v>1390.0</v>
      </c>
      <c r="O252" s="1" t="s">
        <v>2499</v>
      </c>
      <c r="R252" s="1" t="s">
        <v>1880</v>
      </c>
      <c r="S252" s="1" t="s">
        <v>1880</v>
      </c>
      <c r="T252" s="1" t="s">
        <v>124</v>
      </c>
      <c r="W252" s="1" t="s">
        <v>857</v>
      </c>
      <c r="X252" s="1" t="s">
        <v>1116</v>
      </c>
    </row>
    <row r="253" ht="15.75" customHeight="1">
      <c r="B253" s="1">
        <v>165.0</v>
      </c>
      <c r="C253" s="1" t="s">
        <v>1150</v>
      </c>
      <c r="D253" s="1" t="s">
        <v>2076</v>
      </c>
      <c r="E253" s="1" t="s">
        <v>2501</v>
      </c>
      <c r="F253" s="1">
        <v>1.143879000193E12</v>
      </c>
      <c r="G253" s="1" t="s">
        <v>2502</v>
      </c>
      <c r="H253" s="1">
        <v>45.0</v>
      </c>
      <c r="I253" s="1">
        <v>901.0</v>
      </c>
      <c r="J253" s="1">
        <v>2.753532E7</v>
      </c>
      <c r="K253" s="1" t="s">
        <v>209</v>
      </c>
      <c r="L253" s="1" t="s">
        <v>1075</v>
      </c>
      <c r="M253" s="1" t="s">
        <v>2503</v>
      </c>
      <c r="N253" s="1">
        <v>500.0</v>
      </c>
      <c r="O253" s="1" t="s">
        <v>2504</v>
      </c>
      <c r="R253" s="1" t="s">
        <v>2505</v>
      </c>
      <c r="S253" s="1" t="s">
        <v>2505</v>
      </c>
      <c r="T253" s="1" t="s">
        <v>124</v>
      </c>
      <c r="W253" s="1" t="s">
        <v>857</v>
      </c>
      <c r="X253" s="1" t="s">
        <v>1116</v>
      </c>
    </row>
    <row r="254" ht="15.75" customHeight="1">
      <c r="B254" s="1">
        <v>184.0</v>
      </c>
      <c r="C254" s="1" t="s">
        <v>1150</v>
      </c>
      <c r="D254" s="1" t="s">
        <v>1992</v>
      </c>
      <c r="E254" s="1" t="s">
        <v>2507</v>
      </c>
      <c r="F254" s="1">
        <v>5.2437132000189E13</v>
      </c>
      <c r="G254" s="1">
        <v>1.7728830111E10</v>
      </c>
      <c r="H254" s="1">
        <v>4.0</v>
      </c>
      <c r="I254" s="1">
        <v>902.0</v>
      </c>
      <c r="J254" s="1">
        <v>1.60103E7</v>
      </c>
      <c r="K254" s="1" t="s">
        <v>41</v>
      </c>
      <c r="L254" s="1" t="s">
        <v>1376</v>
      </c>
      <c r="M254" s="1" t="s">
        <v>39</v>
      </c>
      <c r="N254" s="1">
        <v>217.0</v>
      </c>
      <c r="O254" s="1" t="s">
        <v>2013</v>
      </c>
      <c r="R254" s="1" t="s">
        <v>1951</v>
      </c>
      <c r="S254" s="1" t="s">
        <v>1951</v>
      </c>
      <c r="T254" s="1" t="s">
        <v>124</v>
      </c>
      <c r="W254" s="1" t="s">
        <v>857</v>
      </c>
      <c r="X254" s="1" t="s">
        <v>994</v>
      </c>
    </row>
    <row r="255" ht="15.75" customHeight="1">
      <c r="B255" s="1">
        <v>185.0</v>
      </c>
      <c r="C255" s="1" t="s">
        <v>1150</v>
      </c>
      <c r="D255" s="1" t="s">
        <v>2508</v>
      </c>
      <c r="E255" s="1" t="s">
        <v>2507</v>
      </c>
      <c r="F255" s="1">
        <v>4.6752415000112E13</v>
      </c>
      <c r="G255" s="1">
        <v>1.77384843115E11</v>
      </c>
      <c r="H255" s="1">
        <v>4.0</v>
      </c>
      <c r="I255" s="1">
        <v>903.0</v>
      </c>
      <c r="J255" s="1">
        <v>1.22102E7</v>
      </c>
      <c r="K255" s="1" t="s">
        <v>41</v>
      </c>
      <c r="L255" s="1" t="s">
        <v>704</v>
      </c>
      <c r="M255" s="1" t="s">
        <v>39</v>
      </c>
      <c r="N255" s="1">
        <v>148.0</v>
      </c>
      <c r="O255" s="1" t="s">
        <v>1949</v>
      </c>
      <c r="R255" s="1" t="s">
        <v>1951</v>
      </c>
      <c r="S255" s="1" t="s">
        <v>1951</v>
      </c>
      <c r="T255" s="1" t="s">
        <v>124</v>
      </c>
      <c r="W255" s="1" t="s">
        <v>857</v>
      </c>
      <c r="X255" s="1" t="s">
        <v>994</v>
      </c>
    </row>
    <row r="256" ht="15.75" customHeight="1">
      <c r="B256" s="1">
        <v>120.0</v>
      </c>
      <c r="C256" s="1" t="s">
        <v>1150</v>
      </c>
      <c r="D256" s="1" t="s">
        <v>2509</v>
      </c>
      <c r="E256" s="1" t="s">
        <v>2511</v>
      </c>
      <c r="F256" s="1">
        <v>0.0</v>
      </c>
      <c r="G256" s="1">
        <v>6.7210603211E11</v>
      </c>
      <c r="H256" s="1">
        <v>8.0</v>
      </c>
      <c r="I256" s="1">
        <v>904.0</v>
      </c>
      <c r="J256" s="1">
        <v>8780310.0</v>
      </c>
      <c r="K256" s="1" t="s">
        <v>41</v>
      </c>
      <c r="L256" s="1" t="s">
        <v>1052</v>
      </c>
      <c r="M256" s="1" t="s">
        <v>2514</v>
      </c>
      <c r="N256" s="1">
        <v>2.0</v>
      </c>
      <c r="O256" s="1" t="s">
        <v>2515</v>
      </c>
      <c r="R256" s="1" t="s">
        <v>2516</v>
      </c>
      <c r="S256" s="1" t="s">
        <v>2516</v>
      </c>
      <c r="T256" s="1" t="s">
        <v>124</v>
      </c>
      <c r="W256" s="1" t="s">
        <v>857</v>
      </c>
      <c r="X256" s="1" t="s">
        <v>1116</v>
      </c>
    </row>
    <row r="257" ht="15.75" customHeight="1">
      <c r="B257" s="1">
        <v>18.0</v>
      </c>
      <c r="C257" s="1" t="s">
        <v>1150</v>
      </c>
      <c r="D257" s="1" t="s">
        <v>2517</v>
      </c>
      <c r="E257" s="1" t="s">
        <v>2518</v>
      </c>
      <c r="F257" s="1">
        <v>6.1626712000105E13</v>
      </c>
      <c r="G257" s="1">
        <v>6.45514852111E11</v>
      </c>
      <c r="H257" s="1">
        <v>3.0</v>
      </c>
      <c r="I257" s="1">
        <v>905.0</v>
      </c>
      <c r="J257" s="1">
        <v>1.2230001E7</v>
      </c>
      <c r="K257" s="1" t="s">
        <v>41</v>
      </c>
      <c r="L257" s="1" t="s">
        <v>704</v>
      </c>
      <c r="M257" s="1" t="s">
        <v>701</v>
      </c>
      <c r="N257" s="1">
        <v>227.0</v>
      </c>
      <c r="O257" s="1" t="s">
        <v>2519</v>
      </c>
      <c r="R257" s="1" t="s">
        <v>431</v>
      </c>
      <c r="S257" s="1" t="s">
        <v>431</v>
      </c>
      <c r="T257" s="1" t="s">
        <v>124</v>
      </c>
      <c r="W257" s="1" t="s">
        <v>857</v>
      </c>
      <c r="X257" s="1" t="s">
        <v>1116</v>
      </c>
    </row>
    <row r="258" ht="15.75" customHeight="1">
      <c r="B258" s="1">
        <v>0.0</v>
      </c>
      <c r="C258" s="1" t="s">
        <v>1150</v>
      </c>
      <c r="D258" s="1" t="s">
        <v>2520</v>
      </c>
      <c r="E258" s="1" t="s">
        <v>2521</v>
      </c>
      <c r="F258" s="1">
        <v>5.725368400015E13</v>
      </c>
      <c r="H258" s="1">
        <v>6.0</v>
      </c>
      <c r="I258" s="1">
        <v>999.0</v>
      </c>
      <c r="J258" s="1">
        <v>1.70119E7</v>
      </c>
      <c r="K258" s="1" t="s">
        <v>41</v>
      </c>
      <c r="L258" s="1" t="s">
        <v>554</v>
      </c>
      <c r="M258" s="1" t="s">
        <v>553</v>
      </c>
      <c r="N258" s="1">
        <v>55.0</v>
      </c>
      <c r="O258" s="1" t="s">
        <v>2523</v>
      </c>
      <c r="R258" s="1" t="s">
        <v>2524</v>
      </c>
      <c r="S258" s="1" t="s">
        <v>2524</v>
      </c>
      <c r="T258" s="1" t="s">
        <v>124</v>
      </c>
      <c r="W258" s="1" t="s">
        <v>857</v>
      </c>
      <c r="X258" s="1" t="s">
        <v>1116</v>
      </c>
    </row>
    <row r="259" ht="15.75" customHeight="1">
      <c r="B259" s="1">
        <v>371.0</v>
      </c>
      <c r="C259" s="1" t="s">
        <v>978</v>
      </c>
      <c r="D259" s="1" t="s">
        <v>2527</v>
      </c>
      <c r="E259" s="1" t="s">
        <v>2528</v>
      </c>
      <c r="F259" s="1">
        <v>3.7765702000176E13</v>
      </c>
      <c r="G259" s="1">
        <v>8.9762959E7</v>
      </c>
      <c r="H259" s="1">
        <v>54.0</v>
      </c>
      <c r="I259" s="1" t="s">
        <v>2529</v>
      </c>
      <c r="J259" s="1">
        <v>5.44101E7</v>
      </c>
      <c r="K259" s="1" t="s">
        <v>1947</v>
      </c>
      <c r="L259" s="1" t="s">
        <v>2530</v>
      </c>
      <c r="M259" s="1" t="s">
        <v>2531</v>
      </c>
      <c r="N259" s="1">
        <v>800.0</v>
      </c>
      <c r="O259" s="1" t="s">
        <v>2532</v>
      </c>
      <c r="R259" s="1" t="s">
        <v>2533</v>
      </c>
      <c r="S259" s="1" t="s">
        <v>2533</v>
      </c>
      <c r="T259" s="1" t="s">
        <v>124</v>
      </c>
      <c r="W259" s="1" t="s">
        <v>252</v>
      </c>
      <c r="X259" s="1" t="s">
        <v>1116</v>
      </c>
      <c r="Y259" s="1">
        <v>550.0</v>
      </c>
      <c r="Z259" s="1" t="s">
        <v>49</v>
      </c>
    </row>
    <row r="260" ht="15.75" customHeight="1">
      <c r="B260" s="1">
        <v>372.0</v>
      </c>
      <c r="C260" s="1" t="s">
        <v>978</v>
      </c>
      <c r="D260" s="1" t="s">
        <v>2527</v>
      </c>
      <c r="E260" s="1" t="s">
        <v>2534</v>
      </c>
      <c r="F260" s="1">
        <v>3.7765702000257E13</v>
      </c>
      <c r="G260" s="1">
        <v>9.251006E7</v>
      </c>
      <c r="H260" s="1">
        <v>54.0</v>
      </c>
      <c r="I260" s="1" t="s">
        <v>2535</v>
      </c>
      <c r="J260" s="1">
        <v>5.502474E7</v>
      </c>
      <c r="K260" s="1" t="s">
        <v>1947</v>
      </c>
      <c r="L260" s="1" t="s">
        <v>2536</v>
      </c>
      <c r="M260" s="1" t="s">
        <v>2537</v>
      </c>
      <c r="N260" s="1">
        <v>800.0</v>
      </c>
      <c r="O260" s="1" t="s">
        <v>2538</v>
      </c>
      <c r="R260" s="1" t="s">
        <v>2533</v>
      </c>
      <c r="S260" s="1" t="s">
        <v>2533</v>
      </c>
      <c r="T260" s="1" t="s">
        <v>124</v>
      </c>
      <c r="W260" s="1" t="s">
        <v>252</v>
      </c>
      <c r="X260" s="1" t="s">
        <v>1116</v>
      </c>
      <c r="Y260" s="1">
        <v>222.0</v>
      </c>
      <c r="Z260" s="1" t="s">
        <v>62</v>
      </c>
    </row>
    <row r="261" ht="15.75" customHeight="1">
      <c r="B261" s="1">
        <v>375.0</v>
      </c>
      <c r="C261" s="1" t="s">
        <v>978</v>
      </c>
      <c r="D261" s="1" t="s">
        <v>2527</v>
      </c>
      <c r="E261" s="1" t="s">
        <v>2542</v>
      </c>
      <c r="F261" s="1">
        <v>3.7765702000338E13</v>
      </c>
      <c r="G261" s="1">
        <v>0.0</v>
      </c>
      <c r="H261" s="1">
        <v>54.0</v>
      </c>
      <c r="I261" s="1" t="s">
        <v>2543</v>
      </c>
      <c r="J261" s="1">
        <v>5.011E7</v>
      </c>
      <c r="K261" s="1" t="s">
        <v>1947</v>
      </c>
      <c r="L261" s="1" t="s">
        <v>1990</v>
      </c>
      <c r="M261" s="1" t="s">
        <v>2544</v>
      </c>
      <c r="N261" s="1">
        <v>153.0</v>
      </c>
      <c r="O261" s="1" t="s">
        <v>2545</v>
      </c>
      <c r="R261" s="1" t="s">
        <v>2533</v>
      </c>
      <c r="S261" s="1" t="s">
        <v>2533</v>
      </c>
      <c r="T261" s="1" t="s">
        <v>124</v>
      </c>
      <c r="W261" s="1" t="s">
        <v>252</v>
      </c>
      <c r="X261" s="1" t="s">
        <v>1116</v>
      </c>
      <c r="Y261" s="1">
        <v>380.0</v>
      </c>
      <c r="Z261" s="1" t="s">
        <v>70</v>
      </c>
    </row>
    <row r="262" ht="15.75" customHeight="1">
      <c r="B262" s="1">
        <v>373.0</v>
      </c>
      <c r="C262" s="1" t="s">
        <v>978</v>
      </c>
      <c r="D262" s="1" t="s">
        <v>2527</v>
      </c>
      <c r="E262" s="1" t="s">
        <v>2546</v>
      </c>
      <c r="F262" s="1">
        <v>3.7765702000419E13</v>
      </c>
      <c r="G262" s="1">
        <v>0.0</v>
      </c>
      <c r="H262" s="1">
        <v>54.0</v>
      </c>
      <c r="I262" s="1" t="s">
        <v>2548</v>
      </c>
      <c r="J262" s="1">
        <v>5.500416E7</v>
      </c>
      <c r="K262" s="1" t="s">
        <v>1947</v>
      </c>
      <c r="L262" s="1" t="s">
        <v>2536</v>
      </c>
      <c r="M262" s="1" t="s">
        <v>2247</v>
      </c>
      <c r="N262" s="1">
        <v>175.0</v>
      </c>
      <c r="O262" s="1" t="s">
        <v>1695</v>
      </c>
      <c r="R262" s="1" t="s">
        <v>2533</v>
      </c>
      <c r="S262" s="1" t="s">
        <v>2533</v>
      </c>
      <c r="T262" s="1" t="s">
        <v>124</v>
      </c>
      <c r="W262" s="1" t="s">
        <v>252</v>
      </c>
      <c r="X262" s="1" t="s">
        <v>1116</v>
      </c>
      <c r="Y262" s="1">
        <v>496.0</v>
      </c>
      <c r="Z262" s="1" t="s">
        <v>82</v>
      </c>
    </row>
    <row r="263" ht="15.75" customHeight="1">
      <c r="B263" s="1">
        <v>374.0</v>
      </c>
      <c r="C263" s="1" t="s">
        <v>978</v>
      </c>
      <c r="D263" s="1" t="s">
        <v>2527</v>
      </c>
      <c r="E263" s="1" t="s">
        <v>2549</v>
      </c>
      <c r="F263" s="1">
        <v>3.7765702000508E13</v>
      </c>
      <c r="G263" s="1">
        <v>0.0</v>
      </c>
      <c r="H263" s="1">
        <v>54.0</v>
      </c>
      <c r="I263" s="1" t="s">
        <v>2550</v>
      </c>
      <c r="J263" s="1">
        <v>5.431031E7</v>
      </c>
      <c r="K263" s="1" t="s">
        <v>1947</v>
      </c>
      <c r="L263" s="1" t="s">
        <v>2530</v>
      </c>
      <c r="M263" s="1" t="s">
        <v>2551</v>
      </c>
      <c r="N263" s="1">
        <v>152.0</v>
      </c>
      <c r="O263" s="1" t="s">
        <v>2532</v>
      </c>
      <c r="R263" s="1" t="s">
        <v>2533</v>
      </c>
      <c r="S263" s="1" t="s">
        <v>2533</v>
      </c>
      <c r="T263" s="1" t="s">
        <v>124</v>
      </c>
      <c r="W263" s="1" t="s">
        <v>252</v>
      </c>
      <c r="X263" s="1" t="s">
        <v>1116</v>
      </c>
      <c r="Y263" s="1">
        <v>184.0</v>
      </c>
      <c r="Z263" s="1" t="s">
        <v>93</v>
      </c>
    </row>
    <row r="264" ht="15.75" customHeight="1">
      <c r="B264" s="1">
        <v>175.0</v>
      </c>
      <c r="C264" s="1" t="s">
        <v>1150</v>
      </c>
      <c r="D264" s="1" t="s">
        <v>2552</v>
      </c>
      <c r="E264" s="1" t="s">
        <v>2553</v>
      </c>
      <c r="F264" s="1">
        <v>4.3648993000115E13</v>
      </c>
      <c r="G264" s="1">
        <v>0.0</v>
      </c>
      <c r="H264" s="1">
        <v>21.0</v>
      </c>
      <c r="I264" s="1" t="s">
        <v>2554</v>
      </c>
      <c r="J264" s="1" t="s">
        <v>911</v>
      </c>
      <c r="K264" s="1" t="s">
        <v>41</v>
      </c>
      <c r="L264" s="1" t="s">
        <v>704</v>
      </c>
      <c r="M264" s="1" t="s">
        <v>39</v>
      </c>
      <c r="N264" s="1">
        <v>148.0</v>
      </c>
      <c r="O264" s="1" t="s">
        <v>1949</v>
      </c>
      <c r="R264" s="1" t="s">
        <v>1880</v>
      </c>
      <c r="S264" s="1" t="s">
        <v>1880</v>
      </c>
      <c r="T264" s="1" t="s">
        <v>124</v>
      </c>
      <c r="W264" s="1" t="s">
        <v>857</v>
      </c>
      <c r="X264" s="1" t="s">
        <v>1116</v>
      </c>
      <c r="Y264" s="1">
        <v>1.0</v>
      </c>
    </row>
    <row r="265" ht="15.75" customHeight="1">
      <c r="B265" s="1">
        <v>179.0</v>
      </c>
      <c r="C265" s="1" t="s">
        <v>1150</v>
      </c>
      <c r="D265" s="1" t="s">
        <v>2558</v>
      </c>
      <c r="E265" s="1" t="s">
        <v>2559</v>
      </c>
      <c r="F265" s="1">
        <v>2.655329800015E13</v>
      </c>
      <c r="G265" s="1">
        <v>4.54510543116E11</v>
      </c>
      <c r="H265" s="1">
        <v>44.0</v>
      </c>
      <c r="I265" s="1" t="s">
        <v>2560</v>
      </c>
      <c r="J265" s="1">
        <v>8780910.0</v>
      </c>
      <c r="K265" s="1" t="s">
        <v>41</v>
      </c>
      <c r="L265" s="1" t="s">
        <v>1052</v>
      </c>
      <c r="M265" s="1" t="s">
        <v>1051</v>
      </c>
      <c r="N265" s="1">
        <v>1001.0</v>
      </c>
      <c r="O265" s="1" t="s">
        <v>2561</v>
      </c>
      <c r="R265" s="1" t="s">
        <v>1270</v>
      </c>
      <c r="S265" s="1" t="s">
        <v>1270</v>
      </c>
      <c r="T265" s="1" t="s">
        <v>124</v>
      </c>
      <c r="W265" s="1" t="s">
        <v>857</v>
      </c>
      <c r="X265" s="1" t="s">
        <v>1116</v>
      </c>
      <c r="Y265" s="1">
        <v>170.0</v>
      </c>
      <c r="Z265" s="1" t="s">
        <v>1508</v>
      </c>
    </row>
    <row r="266" ht="15.75" customHeight="1">
      <c r="B266" s="1">
        <v>198.0</v>
      </c>
      <c r="C266" s="1" t="s">
        <v>978</v>
      </c>
      <c r="D266" s="1" t="s">
        <v>2562</v>
      </c>
      <c r="E266" s="1" t="s">
        <v>2563</v>
      </c>
      <c r="F266" s="1">
        <v>1.2557970000171E13</v>
      </c>
      <c r="G266" s="1">
        <v>123456.0</v>
      </c>
      <c r="H266" s="1">
        <v>1.0</v>
      </c>
      <c r="I266" s="1" t="s">
        <v>2564</v>
      </c>
      <c r="J266" s="1">
        <v>1.223101E7</v>
      </c>
      <c r="K266" s="1" t="s">
        <v>41</v>
      </c>
      <c r="L266" s="1" t="s">
        <v>271</v>
      </c>
      <c r="M266" s="1" t="s">
        <v>673</v>
      </c>
      <c r="N266" s="1">
        <v>1692.0</v>
      </c>
      <c r="O266" s="1" t="s">
        <v>670</v>
      </c>
      <c r="R266" s="1" t="s">
        <v>124</v>
      </c>
      <c r="S266" s="1" t="s">
        <v>124</v>
      </c>
      <c r="T266" s="1" t="s">
        <v>124</v>
      </c>
      <c r="W266" s="1" t="s">
        <v>857</v>
      </c>
      <c r="X266" s="1" t="s">
        <v>1116</v>
      </c>
    </row>
    <row r="267" ht="15.75" customHeight="1">
      <c r="B267" s="1">
        <v>357.0</v>
      </c>
      <c r="C267" s="1" t="s">
        <v>1150</v>
      </c>
      <c r="D267" s="1" t="s">
        <v>2566</v>
      </c>
      <c r="E267" s="1" t="s">
        <v>2567</v>
      </c>
      <c r="F267" s="1">
        <v>9.3324359000103E13</v>
      </c>
      <c r="G267" s="1">
        <v>8.37073987865E11</v>
      </c>
      <c r="H267" s="1">
        <v>15.0</v>
      </c>
      <c r="I267" s="1" t="s">
        <v>2570</v>
      </c>
      <c r="J267" s="1">
        <v>1.3480071E7</v>
      </c>
      <c r="K267" s="1" t="s">
        <v>41</v>
      </c>
      <c r="L267" s="1" t="s">
        <v>935</v>
      </c>
      <c r="M267" s="1" t="s">
        <v>39</v>
      </c>
      <c r="N267" s="1">
        <v>447.0</v>
      </c>
      <c r="O267" s="1" t="s">
        <v>2571</v>
      </c>
      <c r="R267" s="1" t="s">
        <v>254</v>
      </c>
      <c r="S267" s="1" t="s">
        <v>254</v>
      </c>
      <c r="T267" s="1" t="s">
        <v>124</v>
      </c>
      <c r="W267" s="1" t="s">
        <v>857</v>
      </c>
      <c r="X267" s="1" t="s">
        <v>994</v>
      </c>
    </row>
    <row r="268" ht="15.75" customHeight="1">
      <c r="B268" s="1">
        <v>379.0</v>
      </c>
      <c r="C268" s="1" t="s">
        <v>978</v>
      </c>
      <c r="D268" s="1" t="s">
        <v>2572</v>
      </c>
      <c r="E268" s="1" t="s">
        <v>2573</v>
      </c>
      <c r="F268" s="1">
        <v>0.0</v>
      </c>
      <c r="H268" s="1">
        <v>1.0</v>
      </c>
      <c r="I268" s="1" t="s">
        <v>2574</v>
      </c>
      <c r="J268" s="1">
        <v>1.223101E7</v>
      </c>
      <c r="K268" s="1" t="s">
        <v>41</v>
      </c>
      <c r="L268" s="1" t="s">
        <v>271</v>
      </c>
      <c r="M268" s="1" t="s">
        <v>673</v>
      </c>
      <c r="N268" s="1">
        <v>1692.0</v>
      </c>
      <c r="O268" s="1" t="s">
        <v>670</v>
      </c>
      <c r="R268" s="1" t="s">
        <v>124</v>
      </c>
      <c r="S268" s="1" t="s">
        <v>124</v>
      </c>
      <c r="T268" s="1" t="s">
        <v>124</v>
      </c>
      <c r="X268" s="1" t="s">
        <v>1116</v>
      </c>
    </row>
    <row r="269" ht="15.75" customHeight="1">
      <c r="B269" s="1">
        <v>78.0</v>
      </c>
      <c r="C269" s="1" t="s">
        <v>1150</v>
      </c>
      <c r="D269" s="1" t="s">
        <v>2575</v>
      </c>
      <c r="E269" s="1" t="s">
        <v>2576</v>
      </c>
      <c r="F269" s="1">
        <v>8.647035300017E13</v>
      </c>
      <c r="G269" s="1">
        <v>4.54159944711E11</v>
      </c>
      <c r="H269" s="1">
        <v>21.0</v>
      </c>
      <c r="I269" s="1" t="s">
        <v>2577</v>
      </c>
      <c r="J269" s="1">
        <v>1.22E7</v>
      </c>
      <c r="K269" s="1" t="s">
        <v>41</v>
      </c>
      <c r="L269" s="1" t="s">
        <v>271</v>
      </c>
      <c r="M269" s="1" t="s">
        <v>2578</v>
      </c>
      <c r="N269" s="1">
        <v>1.0</v>
      </c>
      <c r="O269" s="1" t="s">
        <v>2579</v>
      </c>
      <c r="R269" s="1" t="s">
        <v>1880</v>
      </c>
      <c r="S269" s="1" t="s">
        <v>1880</v>
      </c>
      <c r="T269" s="1" t="s">
        <v>124</v>
      </c>
      <c r="W269" s="1" t="s">
        <v>857</v>
      </c>
      <c r="X269" s="1" t="s">
        <v>1116</v>
      </c>
    </row>
    <row r="270" ht="15.75" customHeight="1">
      <c r="B270" s="1">
        <v>131.0</v>
      </c>
      <c r="C270" s="1" t="s">
        <v>978</v>
      </c>
      <c r="D270" s="1" t="s">
        <v>2580</v>
      </c>
      <c r="E270" s="1" t="s">
        <v>2580</v>
      </c>
      <c r="F270" s="1">
        <v>1.482476700014E13</v>
      </c>
      <c r="G270" s="1">
        <v>6.45492983111E11</v>
      </c>
      <c r="H270" s="1">
        <v>21.0</v>
      </c>
      <c r="I270" s="1" t="s">
        <v>2581</v>
      </c>
      <c r="J270" s="1">
        <v>1.221027E7</v>
      </c>
      <c r="K270" s="1" t="s">
        <v>41</v>
      </c>
      <c r="L270" s="1" t="s">
        <v>271</v>
      </c>
      <c r="M270" s="1" t="s">
        <v>39</v>
      </c>
      <c r="N270" s="1">
        <v>1032.0</v>
      </c>
      <c r="O270" s="1" t="s">
        <v>1927</v>
      </c>
      <c r="R270" s="1" t="s">
        <v>1880</v>
      </c>
      <c r="S270" s="1" t="s">
        <v>1880</v>
      </c>
      <c r="T270" s="1" t="s">
        <v>124</v>
      </c>
      <c r="W270" s="1" t="s">
        <v>857</v>
      </c>
      <c r="X270" s="1" t="s">
        <v>1116</v>
      </c>
    </row>
    <row r="271" ht="15.75" customHeight="1">
      <c r="B271" s="1">
        <v>130.0</v>
      </c>
      <c r="C271" s="1" t="s">
        <v>978</v>
      </c>
      <c r="D271" s="1" t="s">
        <v>2562</v>
      </c>
      <c r="E271" s="1" t="s">
        <v>2582</v>
      </c>
      <c r="F271" s="1">
        <v>1.567439400013E13</v>
      </c>
      <c r="G271" s="1">
        <v>4.54159944711E11</v>
      </c>
      <c r="H271" s="1">
        <v>1.0</v>
      </c>
      <c r="I271" s="1" t="s">
        <v>2584</v>
      </c>
      <c r="J271" s="1">
        <v>1.223101E7</v>
      </c>
      <c r="K271" s="1" t="s">
        <v>41</v>
      </c>
      <c r="L271" s="1" t="s">
        <v>271</v>
      </c>
      <c r="M271" s="1" t="s">
        <v>673</v>
      </c>
      <c r="N271" s="1">
        <v>1692.0</v>
      </c>
      <c r="O271" s="1" t="s">
        <v>670</v>
      </c>
      <c r="R271" s="1" t="s">
        <v>124</v>
      </c>
      <c r="S271" s="1" t="s">
        <v>124</v>
      </c>
      <c r="T271" s="1" t="s">
        <v>2587</v>
      </c>
      <c r="W271" s="1" t="s">
        <v>857</v>
      </c>
      <c r="X271" s="1" t="s">
        <v>1116</v>
      </c>
    </row>
    <row r="272" ht="15.75" customHeight="1">
      <c r="B272" s="1">
        <v>282.0</v>
      </c>
      <c r="C272" s="1" t="s">
        <v>978</v>
      </c>
      <c r="D272" s="1" t="s">
        <v>2588</v>
      </c>
      <c r="E272" s="1" t="s">
        <v>2589</v>
      </c>
      <c r="F272" s="1">
        <v>4.6759779000124E13</v>
      </c>
      <c r="G272" s="1">
        <v>6.45492983111E11</v>
      </c>
      <c r="H272" s="1">
        <v>1.0</v>
      </c>
      <c r="I272" s="1" t="s">
        <v>2590</v>
      </c>
      <c r="J272" s="1">
        <v>1.223101E7</v>
      </c>
      <c r="K272" s="1" t="s">
        <v>41</v>
      </c>
      <c r="L272" s="1" t="s">
        <v>271</v>
      </c>
      <c r="M272" s="1" t="s">
        <v>673</v>
      </c>
      <c r="N272" s="1">
        <v>1692.0</v>
      </c>
      <c r="O272" s="1" t="s">
        <v>670</v>
      </c>
      <c r="R272" s="1" t="s">
        <v>124</v>
      </c>
      <c r="S272" s="1" t="s">
        <v>124</v>
      </c>
      <c r="T272" s="1" t="s">
        <v>124</v>
      </c>
      <c r="W272" s="1" t="s">
        <v>857</v>
      </c>
      <c r="X272" s="1" t="s">
        <v>1116</v>
      </c>
    </row>
    <row r="273" ht="15.75" customHeight="1">
      <c r="B273" s="1">
        <v>62.0</v>
      </c>
      <c r="C273" s="1" t="s">
        <v>1150</v>
      </c>
      <c r="D273" s="1" t="s">
        <v>2591</v>
      </c>
      <c r="E273" s="1" t="s">
        <v>2592</v>
      </c>
      <c r="F273" s="1">
        <v>5.3342670000152E13</v>
      </c>
      <c r="G273" s="1">
        <v>4.54159944711E11</v>
      </c>
      <c r="H273" s="1">
        <v>1.0</v>
      </c>
      <c r="I273" s="1" t="s">
        <v>2593</v>
      </c>
      <c r="J273" s="1">
        <v>8700000.0</v>
      </c>
      <c r="K273" s="1" t="s">
        <v>41</v>
      </c>
      <c r="L273" s="1" t="s">
        <v>1052</v>
      </c>
      <c r="M273" s="1" t="s">
        <v>2594</v>
      </c>
      <c r="N273" s="1">
        <v>1.0</v>
      </c>
      <c r="O273" s="1" t="s">
        <v>1896</v>
      </c>
      <c r="R273" s="1" t="s">
        <v>124</v>
      </c>
      <c r="S273" s="1" t="s">
        <v>124</v>
      </c>
      <c r="T273" s="1" t="s">
        <v>124</v>
      </c>
      <c r="W273" s="1" t="s">
        <v>857</v>
      </c>
      <c r="X273" s="1" t="s">
        <v>1116</v>
      </c>
    </row>
    <row r="274" ht="15.75" customHeight="1">
      <c r="B274" s="1">
        <v>80.0</v>
      </c>
      <c r="C274" s="1" t="s">
        <v>978</v>
      </c>
      <c r="D274" s="1" t="s">
        <v>2596</v>
      </c>
      <c r="E274" s="1" t="s">
        <v>2596</v>
      </c>
      <c r="F274" s="1">
        <v>7.861367200016E13</v>
      </c>
      <c r="G274" s="1">
        <v>13131.0</v>
      </c>
      <c r="H274" s="1">
        <v>1.0</v>
      </c>
      <c r="I274" s="1" t="s">
        <v>2597</v>
      </c>
      <c r="J274" s="1">
        <v>1.22102E7</v>
      </c>
      <c r="K274" s="1" t="s">
        <v>41</v>
      </c>
      <c r="L274" s="1" t="s">
        <v>271</v>
      </c>
      <c r="M274" s="1" t="s">
        <v>39</v>
      </c>
      <c r="N274" s="1">
        <v>148.0</v>
      </c>
      <c r="O274" s="1" t="s">
        <v>300</v>
      </c>
      <c r="R274" s="1" t="s">
        <v>124</v>
      </c>
      <c r="S274" s="1" t="s">
        <v>124</v>
      </c>
      <c r="T274" s="1" t="s">
        <v>124</v>
      </c>
      <c r="W274" s="1" t="s">
        <v>857</v>
      </c>
      <c r="X274" s="1" t="s">
        <v>1116</v>
      </c>
    </row>
    <row r="275" ht="15.75" customHeight="1">
      <c r="B275" s="1">
        <v>283.0</v>
      </c>
      <c r="C275" s="1" t="s">
        <v>978</v>
      </c>
      <c r="D275" s="1" t="s">
        <v>2598</v>
      </c>
      <c r="E275" s="1" t="s">
        <v>2599</v>
      </c>
      <c r="F275" s="1">
        <v>4.2673133000179E13</v>
      </c>
      <c r="G275" s="1">
        <v>6.45492983111E11</v>
      </c>
      <c r="H275" s="1">
        <v>1.0</v>
      </c>
      <c r="I275" s="1" t="s">
        <v>2600</v>
      </c>
      <c r="J275" s="1">
        <v>1.2246E7</v>
      </c>
      <c r="K275" s="1" t="s">
        <v>41</v>
      </c>
      <c r="L275" s="1" t="s">
        <v>271</v>
      </c>
      <c r="M275" s="1" t="s">
        <v>2601</v>
      </c>
      <c r="N275" s="1">
        <v>255.0</v>
      </c>
      <c r="O275" s="1" t="s">
        <v>2602</v>
      </c>
      <c r="R275" s="1" t="s">
        <v>124</v>
      </c>
      <c r="S275" s="1" t="s">
        <v>124</v>
      </c>
      <c r="T275" s="1" t="s">
        <v>124</v>
      </c>
      <c r="W275" s="1" t="s">
        <v>857</v>
      </c>
      <c r="X275" s="1" t="s">
        <v>1116</v>
      </c>
    </row>
    <row r="276" ht="15.75" customHeight="1">
      <c r="B276" s="1">
        <v>174.0</v>
      </c>
      <c r="C276" s="1" t="s">
        <v>1150</v>
      </c>
      <c r="D276" s="1" t="s">
        <v>2603</v>
      </c>
      <c r="E276" s="1" t="s">
        <v>2604</v>
      </c>
      <c r="F276" s="1">
        <v>6.5389319000104E13</v>
      </c>
      <c r="G276" s="1">
        <v>0.0</v>
      </c>
      <c r="H276" s="1">
        <v>15.0</v>
      </c>
      <c r="I276" s="1" t="s">
        <v>2605</v>
      </c>
      <c r="J276" s="1">
        <v>1.22102E7</v>
      </c>
      <c r="K276" s="1" t="s">
        <v>41</v>
      </c>
      <c r="L276" s="1" t="s">
        <v>704</v>
      </c>
      <c r="M276" s="1" t="s">
        <v>39</v>
      </c>
      <c r="N276" s="1">
        <v>148.0</v>
      </c>
      <c r="O276" s="1" t="s">
        <v>1949</v>
      </c>
      <c r="R276" s="1" t="s">
        <v>254</v>
      </c>
      <c r="S276" s="1" t="s">
        <v>254</v>
      </c>
      <c r="T276" s="1" t="s">
        <v>124</v>
      </c>
      <c r="W276" s="1" t="s">
        <v>857</v>
      </c>
      <c r="X276" s="1" t="s">
        <v>994</v>
      </c>
    </row>
    <row r="277" ht="15.75" customHeight="1">
      <c r="B277" s="1">
        <v>367.0</v>
      </c>
      <c r="C277" s="1" t="s">
        <v>1150</v>
      </c>
      <c r="D277" s="1" t="s">
        <v>2608</v>
      </c>
      <c r="E277" s="1" t="s">
        <v>2609</v>
      </c>
      <c r="F277" s="1">
        <v>4.9375652000108E13</v>
      </c>
      <c r="H277" s="1">
        <v>1.0</v>
      </c>
      <c r="I277" s="1" t="s">
        <v>2610</v>
      </c>
      <c r="J277" s="1">
        <v>8780310.0</v>
      </c>
      <c r="K277" s="1" t="s">
        <v>41</v>
      </c>
      <c r="L277" s="1" t="s">
        <v>1052</v>
      </c>
      <c r="M277" s="1" t="s">
        <v>2514</v>
      </c>
      <c r="N277" s="1">
        <v>1.0</v>
      </c>
      <c r="O277" s="1" t="s">
        <v>2515</v>
      </c>
      <c r="R277" s="1" t="s">
        <v>124</v>
      </c>
      <c r="S277" s="1" t="s">
        <v>124</v>
      </c>
      <c r="T277" s="1" t="s">
        <v>124</v>
      </c>
      <c r="W277" s="1" t="s">
        <v>857</v>
      </c>
      <c r="X277" s="1" t="s">
        <v>1116</v>
      </c>
    </row>
    <row r="278" ht="15.75" customHeight="1">
      <c r="B278" s="1">
        <v>202.0</v>
      </c>
      <c r="C278" s="1" t="s">
        <v>978</v>
      </c>
      <c r="D278" s="1" t="s">
        <v>2611</v>
      </c>
      <c r="E278" s="1" t="s">
        <v>2612</v>
      </c>
      <c r="F278" s="1">
        <v>4.2676252000185E13</v>
      </c>
      <c r="H278" s="1">
        <v>1.0</v>
      </c>
      <c r="I278" s="1" t="s">
        <v>2613</v>
      </c>
      <c r="J278" s="1">
        <v>1.2246E7</v>
      </c>
      <c r="K278" s="1" t="s">
        <v>41</v>
      </c>
      <c r="L278" s="1" t="s">
        <v>271</v>
      </c>
      <c r="M278" s="1" t="s">
        <v>2601</v>
      </c>
      <c r="N278" s="1">
        <v>255.0</v>
      </c>
      <c r="O278" s="1" t="s">
        <v>2602</v>
      </c>
      <c r="R278" s="1" t="s">
        <v>124</v>
      </c>
      <c r="S278" s="1" t="s">
        <v>124</v>
      </c>
      <c r="T278" s="1" t="s">
        <v>124</v>
      </c>
      <c r="W278" s="1" t="s">
        <v>857</v>
      </c>
      <c r="X278" s="1" t="s">
        <v>1116</v>
      </c>
    </row>
    <row r="279" ht="15.75" customHeight="1">
      <c r="B279" s="1">
        <v>284.0</v>
      </c>
      <c r="C279" s="1" t="s">
        <v>978</v>
      </c>
      <c r="D279" s="1" t="s">
        <v>2614</v>
      </c>
      <c r="E279" s="1" t="s">
        <v>2615</v>
      </c>
      <c r="F279" s="1">
        <v>4.66539470001E13</v>
      </c>
      <c r="G279" s="1">
        <v>6.45492983111E11</v>
      </c>
      <c r="H279" s="1">
        <v>1.0</v>
      </c>
      <c r="I279" s="1" t="s">
        <v>2617</v>
      </c>
      <c r="J279" s="1">
        <v>1.223101E7</v>
      </c>
      <c r="K279" s="1" t="s">
        <v>41</v>
      </c>
      <c r="L279" s="1" t="s">
        <v>271</v>
      </c>
      <c r="M279" s="1" t="s">
        <v>673</v>
      </c>
      <c r="N279" s="1">
        <v>1692.0</v>
      </c>
      <c r="O279" s="1" t="s">
        <v>670</v>
      </c>
      <c r="R279" s="1" t="s">
        <v>124</v>
      </c>
      <c r="S279" s="1" t="s">
        <v>124</v>
      </c>
      <c r="T279" s="1" t="s">
        <v>124</v>
      </c>
      <c r="W279" s="1" t="s">
        <v>857</v>
      </c>
      <c r="X279" s="1" t="s">
        <v>1116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